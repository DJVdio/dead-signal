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640" tabRatio="600" firstSheet="0" activeTab="1" autoFilterDateGrouping="1"/>
  </bookViews>
  <sheets>
    <sheet name="说明" sheetId="1" state="visible" r:id="rId1"/>
    <sheet name="护甲表" sheetId="2" state="visible" r:id="rId2"/>
    <sheet name="手术耗材表" sheetId="3" state="visible" r:id="rId3"/>
    <sheet name="感染用药表" sheetId="4" state="visible" r:id="rId4"/>
    <sheet name="伤病锚点表" sheetId="5" state="visible" r:id="rId5"/>
    <sheet name="材料表" sheetId="6" state="visible" r:id="rId6"/>
    <sheet name="配方表" sheetId="7" state="visible" r:id="rId7"/>
    <sheet name="光源表" sheetId="8" state="visible" r:id="rId8"/>
    <sheet name="草药投放表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i val="1"/>
      <color rgb="FF909090"/>
      <sz val="9"/>
      <scheme val="minor"/>
    </font>
    <font>
      <name val="宋体"/>
      <charset val="134"/>
      <b val="1"/>
      <color rgb="FFFFFFFF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10" borderId="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5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2" fillId="0" borderId="0" applyAlignment="1">
      <alignment vertical="center"/>
    </xf>
    <xf numFmtId="0" fontId="13" fillId="11" borderId="7" applyAlignment="1">
      <alignment vertical="center"/>
    </xf>
    <xf numFmtId="0" fontId="14" fillId="9" borderId="8" applyAlignment="1">
      <alignment vertical="center"/>
    </xf>
    <xf numFmtId="0" fontId="15" fillId="9" borderId="7" applyAlignment="1">
      <alignment vertical="center"/>
    </xf>
    <xf numFmtId="0" fontId="16" fillId="12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3" fillId="37" borderId="0" applyAlignment="1">
      <alignment vertical="center"/>
    </xf>
    <xf numFmtId="0" fontId="23" fillId="38" borderId="0" applyAlignment="1">
      <alignment vertical="center"/>
    </xf>
    <xf numFmtId="0" fontId="22" fillId="39" borderId="0" applyAlignment="1">
      <alignment vertical="center"/>
    </xf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4" fillId="4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activeCell="A1" sqref="A1"/>
      <selection pane="bottomLeft" activeCell="A1" sqref="A1:B1"/>
    </sheetView>
  </sheetViews>
  <sheetFormatPr baseColWidth="8" defaultColWidth="9" defaultRowHeight="16.8"/>
  <cols>
    <col width="22" customWidth="1" min="1" max="1"/>
    <col width="104" customWidth="1" min="2" max="2"/>
  </cols>
  <sheetData>
    <row r="1" ht="17.6" customHeight="1">
      <c r="A1" s="16" t="inlineStr">
        <is>
          <t>各类数值表 — 使用说明</t>
        </is>
      </c>
    </row>
    <row r="2" ht="34" customHeight="1">
      <c r="A2" s="17" t="inlineStr">
        <is>
          <t>这些表干嘛的</t>
        </is>
      </c>
      <c r="B2" s="18" t="inlineStr">
        <is>
          <t>把游戏里需要你定数值的东西列成表，你直接在格子里改数字就行。改完在群里喊一声，我们负责把它填回游戏。</t>
        </is>
      </c>
    </row>
    <row r="3" ht="34" customHeight="1">
      <c r="A3" s="17" t="inlineStr">
        <is>
          <t>颜色什么意思</t>
        </is>
      </c>
      <c r="B3" s="18" t="inlineStr">
        <is>
          <t>浅金格＝你以前定过的值(一般别动)；浅蓝格＝我们先随手填的暂定值，等你调；浅绿格＝会自动算出来的(别改)；浅灰格＝参考值或敌人数据(只看不改)。</t>
        </is>
      </c>
    </row>
    <row r="4" ht="34" customHeight="1">
      <c r="A4" s="17" t="inlineStr">
        <is>
          <t>表格怎么看</t>
        </is>
      </c>
      <c r="B4" s="18" t="inlineStr">
        <is>
          <t>每张表第一行是这张表的说明，第二行是列名。名称列和标题已锁住，左右拉动时不会跑掉。有的表最右边有一列灰灰的『内部编号(勿改)』，那是给我们填回游戏用的，你不用管、也别改。</t>
        </is>
      </c>
    </row>
    <row r="5" ht="17" customHeight="1">
      <c r="A5" s="17" t="inlineStr"/>
      <c r="B5" s="18" t="inlineStr"/>
    </row>
    <row r="6" ht="17" customHeight="1">
      <c r="A6" s="17" t="inlineStr">
        <is>
          <t>护甲表</t>
        </is>
      </c>
      <c r="B6" s="18" t="inlineStr">
        <is>
          <t>各种护甲/衣服 挡刀挡钝、有多重、护住身上哪些部位。现在数值全是暂定值。</t>
        </is>
      </c>
    </row>
    <row r="7" ht="17" customHeight="1">
      <c r="A7" s="17" t="inlineStr">
        <is>
          <t>手术耗材表</t>
        </is>
      </c>
      <c r="B7" s="18" t="inlineStr">
        <is>
          <t>绷带/夹板/急救包这些，做手术能加多少点(点越多越容易成功)。</t>
        </is>
      </c>
    </row>
    <row r="8" ht="17" customHeight="1">
      <c r="A8" s="17" t="inlineStr">
        <is>
          <t>感染用药表</t>
        </is>
      </c>
      <c r="B8" s="18" t="inlineStr">
        <is>
          <t>治感染的三种药：治得多快、用药时把恶化压多慢。</t>
        </is>
      </c>
    </row>
    <row r="9" ht="17" customHeight="1">
      <c r="A9" s="17" t="inlineStr">
        <is>
          <t>伤病锚点表</t>
        </is>
      </c>
      <c r="B9" s="18" t="inlineStr">
        <is>
          <t>感染/流血/骨折/手术的关键数字，比如感染每天涨多少、几天到头、手术底子多少点。</t>
        </is>
      </c>
    </row>
    <row r="10" ht="17" customHeight="1">
      <c r="A10" s="17" t="inlineStr">
        <is>
          <t>材料表</t>
        </is>
      </c>
      <c r="B10" s="18" t="inlineStr">
        <is>
          <t>各种材料，商人肯出多少钱收。</t>
        </is>
      </c>
    </row>
    <row r="11" ht="17" customHeight="1">
      <c r="A11" s="17" t="inlineStr">
        <is>
          <t>配方表</t>
        </is>
      </c>
      <c r="B11" s="18" t="inlineStr">
        <is>
          <t>做一样东西 要什么料、花多久、需要什么条件。</t>
        </is>
      </c>
    </row>
    <row r="12" ht="17" customHeight="1">
      <c r="A12" s="17" t="inlineStr">
        <is>
          <t>光源表</t>
        </is>
      </c>
      <c r="B12" s="18" t="inlineStr">
        <is>
          <t>手电/火把/油灯/火堆：多亮、照多远、有多显眼(越显眼越容易被发现)。</t>
        </is>
      </c>
    </row>
    <row r="13" ht="17" customHeight="1">
      <c r="A13" s="17" t="inlineStr">
        <is>
          <t>草药投放表</t>
        </is>
      </c>
      <c r="B13" s="18" t="inlineStr">
        <is>
          <t>蒲公英/玫瑰果/老君须 三种草药，在各个探索点分别掉几份。</t>
        </is>
      </c>
    </row>
    <row r="14" ht="17" customHeight="1">
      <c r="A14" s="17" t="inlineStr"/>
      <c r="B14" s="18" t="inlineStr"/>
    </row>
    <row r="15" ht="17" customHeight="1">
      <c r="A15" s="17" t="inlineStr">
        <is>
          <t>武器重量在哪</t>
        </is>
      </c>
      <c r="B15" s="18" t="inlineStr">
        <is>
          <t>武器的重量在另一个文件『武器计算表』里(武器那张表最右边一列)。现在也是暂定值，等你定。</t>
        </is>
      </c>
    </row>
    <row r="16" ht="17" customHeight="1">
      <c r="A16" s="17" t="inlineStr">
        <is>
          <t>会不会再变</t>
        </is>
      </c>
      <c r="B16" s="18" t="inlineStr">
        <is>
          <t>有几个药和感染的数字后面可能还会微调，以最新的为准；真动了会跟你说。</t>
        </is>
      </c>
    </row>
    <row r="17" ht="17" customHeight="1">
      <c r="A17" s="17" t="inlineStr">
        <is>
          <t>改完怎么办</t>
        </is>
      </c>
      <c r="B17" s="18" t="inlineStr">
        <is>
          <t>把你改好的表发回来、或直接说改成多少，我们同步进游戏。有拿不准的格子留个批注也行。</t>
        </is>
      </c>
    </row>
    <row r="18" ht="17" customHeight="1">
      <c r="A18" s="17" t="inlineStr"/>
      <c r="B18" s="18" t="inlineStr"/>
    </row>
    <row r="19" ht="17" customHeight="1">
      <c r="A19" s="17" t="inlineStr">
        <is>
          <t>护甲『防护部位』怎么填</t>
        </is>
      </c>
      <c r="B19" s="18" t="inlineStr">
        <is>
          <t>用顿号(、)隔开部位名，比如『胸、腹、左上臂、右上臂』。护到全身就写『全身』；只护一部分的甲(比如胸甲只护胸)就只写那几个。也可以简写『双臂』『双腿』。</t>
        </is>
      </c>
    </row>
    <row r="20" ht="34" customHeight="1">
      <c r="A20" s="17" t="inlineStr">
        <is>
          <t>身体部位全名</t>
        </is>
      </c>
      <c r="B20" s="18" t="inlineStr">
        <is>
          <t>躯干→拆成 胸、腹；头(细分：左眼、右眼、鼻、下巴、左耳、右耳)；上肢：左上臂、右上臂、左手、右手(每只手含五指)；下肢：左大腿、右大腿、左小腿、右小腿、左脚、右脚(每只脚含脚趾)。按这些名字写，游戏才认得。</t>
        </is>
      </c>
    </row>
    <row r="21" ht="51" customHeight="1"/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6.8"/>
  <cols>
    <col width="12" customWidth="1" min="1" max="1"/>
    <col width="18" customWidth="1" min="2" max="2"/>
    <col width="13" customWidth="1" min="3" max="3"/>
    <col width="24" customWidth="1" min="4" max="4"/>
    <col width="14" customWidth="1" min="5" max="6"/>
    <col width="10" customWidth="1" min="7" max="7"/>
    <col width="30" customWidth="1" min="8" max="8"/>
  </cols>
  <sheetData>
    <row r="1">
      <c r="A1" s="1" t="inlineStr">
        <is>
          <t>护甲表 — 挡刀挡钝、重量、护哪些部位都可改(暂定)。护甲不分阵营，谁都能穿。灰底那行是丧尸自带的皮，只看别改。『防护部位』写法见说明页。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名称</t>
        </is>
      </c>
      <c r="B2" s="4" t="inlineStr">
        <is>
          <t>类别/用途</t>
        </is>
      </c>
      <c r="C2" s="4" t="inlineStr">
        <is>
          <t>穿在哪层</t>
        </is>
      </c>
      <c r="D2" s="4" t="inlineStr">
        <is>
          <t>防护部位</t>
        </is>
      </c>
      <c r="E2" s="4" t="inlineStr">
        <is>
          <t>挡锐器(刀/箭)</t>
        </is>
      </c>
      <c r="F2" s="4" t="inlineStr">
        <is>
          <t>挡钝器(锤/砸)</t>
        </is>
      </c>
      <c r="G2" s="4" t="inlineStr">
        <is>
          <t>重量(kg)</t>
        </is>
      </c>
      <c r="H2" s="4" t="inlineStr">
        <is>
          <t>说明</t>
        </is>
      </c>
    </row>
    <row r="3" ht="17" customHeight="1">
      <c r="A3" s="9" t="inlineStr">
        <is>
          <t>长袖布衣</t>
        </is>
      </c>
      <c r="B3" s="9" t="inlineStr">
        <is>
          <t>通用(人形)</t>
        </is>
      </c>
      <c r="C3" s="9" t="inlineStr">
        <is>
          <t>贴身</t>
        </is>
      </c>
      <c r="D3" s="11" t="inlineStr">
        <is>
          <t>胸、腹、左臂、右臂</t>
        </is>
      </c>
      <c r="E3" s="7" t="n">
        <v>6</v>
      </c>
      <c r="F3" s="7" t="n">
        <v>3</v>
      </c>
      <c r="G3" s="7" t="n">
        <v>0.15</v>
      </c>
      <c r="H3" s="6" t="inlineStr">
        <is>
          <t>袖子确实是长的。</t>
        </is>
      </c>
    </row>
    <row r="4" ht="17" customHeight="1">
      <c r="A4" s="9" t="inlineStr">
        <is>
          <t>花衬衫</t>
        </is>
      </c>
      <c r="B4" s="9" t="inlineStr">
        <is>
          <t>通用(人形)</t>
        </is>
      </c>
      <c r="C4" s="9" t="inlineStr">
        <is>
          <t>贴身</t>
        </is>
      </c>
      <c r="D4" s="11" t="inlineStr">
        <is>
          <t>胸、腹、左臂、右臂</t>
        </is>
      </c>
      <c r="E4" s="7" t="n">
        <v>6</v>
      </c>
      <c r="F4" s="7" t="n">
        <v>3</v>
      </c>
      <c r="G4" s="7" t="n">
        <v>0.15</v>
      </c>
      <c r="H4" s="6" t="inlineStr">
        <is>
          <t>夏威夷风格，足够喜庆。</t>
        </is>
      </c>
    </row>
    <row r="5" ht="34" customHeight="1">
      <c r="A5" s="9" t="inlineStr">
        <is>
          <t>长裤</t>
        </is>
      </c>
      <c r="B5" s="9" t="inlineStr">
        <is>
          <t>通用(人形)</t>
        </is>
      </c>
      <c r="C5" s="9" t="inlineStr">
        <is>
          <t>裤装</t>
        </is>
      </c>
      <c r="D5" s="11" t="inlineStr">
        <is>
          <t>左大腿、右大腿、左小腿、右小腿</t>
        </is>
      </c>
      <c r="E5" s="7" t="n">
        <v>6</v>
      </c>
      <c r="F5" s="7" t="n">
        <v>3</v>
      </c>
      <c r="G5" s="7" t="n">
        <v>0.15</v>
      </c>
      <c r="H5" s="6" t="inlineStr">
        <is>
          <t>挡风挡蚊子，挡不住长牙的东西。</t>
        </is>
      </c>
    </row>
    <row r="6" ht="51" customHeight="1">
      <c r="A6" s="9" t="inlineStr">
        <is>
          <t>运动鞋</t>
        </is>
      </c>
      <c r="B6" s="9" t="inlineStr">
        <is>
          <t>通用(人形)</t>
        </is>
      </c>
      <c r="C6" s="9" t="inlineStr">
        <is>
          <t>脚</t>
        </is>
      </c>
      <c r="D6" s="11" t="inlineStr">
        <is>
          <t>左脚、右脚(含脚趾)</t>
        </is>
      </c>
      <c r="E6" s="7" t="n">
        <v>6</v>
      </c>
      <c r="F6" s="7" t="n">
        <v>3</v>
      </c>
      <c r="G6" s="7" t="n">
        <v>0.25</v>
      </c>
      <c r="H6" s="6" t="inlineStr">
        <is>
          <t>跑快一点点——但愿比丧尸快点。</t>
        </is>
      </c>
    </row>
    <row r="7" ht="17" customHeight="1">
      <c r="A7" s="9" t="inlineStr">
        <is>
          <t>短裤</t>
        </is>
      </c>
      <c r="B7" s="9" t="inlineStr">
        <is>
          <t>通用(人形)</t>
        </is>
      </c>
      <c r="C7" s="9" t="inlineStr">
        <is>
          <t>裤装</t>
        </is>
      </c>
      <c r="D7" s="11" t="inlineStr">
        <is>
          <t>左大腿、右大腿</t>
        </is>
      </c>
      <c r="E7" s="7" t="n">
        <v>6</v>
      </c>
      <c r="F7" s="7" t="n">
        <v>3</v>
      </c>
      <c r="G7" s="7" t="n">
        <v>0.1</v>
      </c>
      <c r="H7" s="6" t="inlineStr">
        <is>
          <t>夏日风格。</t>
        </is>
      </c>
    </row>
    <row r="8" ht="17" customHeight="1">
      <c r="A8" s="9" t="inlineStr">
        <is>
          <t>皮革胸甲</t>
        </is>
      </c>
      <c r="B8" s="9" t="inlineStr">
        <is>
          <t>通用(人形)</t>
        </is>
      </c>
      <c r="C8" s="9" t="inlineStr">
        <is>
          <t>护甲层</t>
        </is>
      </c>
      <c r="D8" s="7" t="inlineStr">
        <is>
          <t>胸</t>
        </is>
      </c>
      <c r="E8" s="7" t="n">
        <v>18</v>
      </c>
      <c r="F8" s="7" t="n">
        <v>9</v>
      </c>
      <c r="G8" s="7" t="n">
        <v>4</v>
      </c>
      <c r="H8" s="6" t="inlineStr">
        <is>
          <t>保护你的心。</t>
        </is>
      </c>
    </row>
    <row r="9" ht="17" customHeight="1">
      <c r="A9" s="9" t="inlineStr">
        <is>
          <t>粗布背心</t>
        </is>
      </c>
      <c r="B9" s="9" t="inlineStr">
        <is>
          <t>通用(人形)</t>
        </is>
      </c>
      <c r="C9" s="9" t="inlineStr">
        <is>
          <t>外套</t>
        </is>
      </c>
      <c r="D9" s="7" t="inlineStr">
        <is>
          <t>胸、腹</t>
        </is>
      </c>
      <c r="E9" s="7" t="n">
        <v>6</v>
      </c>
      <c r="F9" s="7" t="n">
        <v>3</v>
      </c>
      <c r="G9" s="7" t="n">
        <v>0.1</v>
      </c>
      <c r="H9" s="6" t="inlineStr">
        <is>
          <t>“缝缝补补又三年。”——奶奶</t>
        </is>
      </c>
    </row>
    <row r="10" ht="17" customHeight="1">
      <c r="A10" s="9" t="inlineStr">
        <is>
          <t>粗布外套</t>
        </is>
      </c>
      <c r="B10" s="9" t="inlineStr">
        <is>
          <t>通用(人形)</t>
        </is>
      </c>
      <c r="C10" s="9" t="inlineStr">
        <is>
          <t>外套</t>
        </is>
      </c>
      <c r="D10" s="7" t="inlineStr">
        <is>
          <t>胸、腹、左臂、右臂</t>
        </is>
      </c>
      <c r="E10" s="7" t="n">
        <v>6</v>
      </c>
      <c r="F10" s="7" t="n">
        <v>3</v>
      </c>
      <c r="G10" s="7" t="n">
        <v>0.25</v>
      </c>
      <c r="H10" s="6" t="inlineStr">
        <is>
          <t>天气转凉了，记得添外套。</t>
        </is>
      </c>
    </row>
    <row r="11" ht="17" customHeight="1">
      <c r="A11" s="9" t="inlineStr">
        <is>
          <t>布夹克</t>
        </is>
      </c>
      <c r="B11" s="9" t="inlineStr">
        <is>
          <t>通用(人形)</t>
        </is>
      </c>
      <c r="C11" s="9" t="inlineStr">
        <is>
          <t>外套</t>
        </is>
      </c>
      <c r="D11" s="7" t="inlineStr">
        <is>
          <t>胸、腹、左臂、右臂</t>
        </is>
      </c>
      <c r="E11" s="7" t="n">
        <v>8</v>
      </c>
      <c r="F11" s="7" t="n">
        <v>4</v>
      </c>
      <c r="G11" s="7" t="n">
        <v>0.3</v>
      </c>
      <c r="H11" s="6" t="inlineStr">
        <is>
          <t>上班穿它，开会穿它，被咬那天也穿着它。</t>
        </is>
      </c>
    </row>
    <row r="12" ht="17" customHeight="1">
      <c r="A12" s="9" t="inlineStr">
        <is>
          <t>牛仔外套</t>
        </is>
      </c>
      <c r="B12" s="9" t="inlineStr">
        <is>
          <t>通用(人形)</t>
        </is>
      </c>
      <c r="C12" s="9" t="inlineStr">
        <is>
          <t>外套</t>
        </is>
      </c>
      <c r="D12" s="7" t="inlineStr">
        <is>
          <t>胸、腹、左臂、右臂</t>
        </is>
      </c>
      <c r="E12" s="7" t="n">
        <v>10</v>
      </c>
      <c r="F12" s="7" t="n">
        <v>5</v>
      </c>
      <c r="G12" s="7" t="n">
        <v>0.6</v>
      </c>
      <c r="H12" s="6" t="inlineStr">
        <is>
          <t>耐磨、耐脏、耐撕咬——前两样是真的。</t>
        </is>
      </c>
    </row>
    <row r="13" ht="17" customHeight="1">
      <c r="A13" s="9" t="inlineStr">
        <is>
          <t>皮夹克</t>
        </is>
      </c>
      <c r="B13" s="9" t="inlineStr">
        <is>
          <t>通用(人形)</t>
        </is>
      </c>
      <c r="C13" s="9" t="inlineStr">
        <is>
          <t>外套</t>
        </is>
      </c>
      <c r="D13" s="7" t="inlineStr">
        <is>
          <t>胸、腹、左臂、右臂</t>
        </is>
      </c>
      <c r="E13" s="7" t="n">
        <v>12</v>
      </c>
      <c r="F13" s="7" t="n">
        <v>6</v>
      </c>
      <c r="G13" s="7" t="n">
        <v>0.5</v>
      </c>
      <c r="H13" s="6" t="inlineStr">
        <is>
          <t>骑上摩托车，倍有范儿。</t>
        </is>
      </c>
    </row>
    <row r="14" ht="17" customHeight="1">
      <c r="A14" s="9" t="inlineStr">
        <is>
          <t>皮甲</t>
        </is>
      </c>
      <c r="B14" s="9" t="inlineStr">
        <is>
          <t>通用(人形)</t>
        </is>
      </c>
      <c r="C14" s="9" t="inlineStr">
        <is>
          <t>护甲层</t>
        </is>
      </c>
      <c r="D14" s="7" t="inlineStr">
        <is>
          <t>胸、腹、左臂、右臂</t>
        </is>
      </c>
      <c r="E14" s="7" t="n">
        <v>18</v>
      </c>
      <c r="F14" s="7" t="n">
        <v>9</v>
      </c>
      <c r="G14" s="7" t="n">
        <v>6</v>
      </c>
      <c r="H14" s="6" t="inlineStr">
        <is>
          <t>结实的鞣皮甲。</t>
        </is>
      </c>
    </row>
    <row r="15" ht="51" customHeight="1">
      <c r="A15" s="9" t="inlineStr">
        <is>
          <t>板甲</t>
        </is>
      </c>
      <c r="B15" s="9" t="inlineStr">
        <is>
          <t>通用(人形)</t>
        </is>
      </c>
      <c r="C15" s="9" t="inlineStr">
        <is>
          <t>护甲层、裤装</t>
        </is>
      </c>
      <c r="D15" s="7" t="inlineStr">
        <is>
          <t>胸、腹、左臂、右臂、左大腿、右大腿、左小腿、右小腿</t>
        </is>
      </c>
      <c r="E15" s="7" t="n">
        <v>50</v>
      </c>
      <c r="F15" s="7" t="n">
        <v>25</v>
      </c>
      <c r="G15" s="7" t="n">
        <v>15</v>
      </c>
      <c r="H15" s="6" t="inlineStr">
        <is>
          <t>重吗？他能保护你脆弱的肉体。</t>
        </is>
      </c>
    </row>
    <row r="16" ht="51" customHeight="1">
      <c r="A16" s="9" t="inlineStr">
        <is>
          <t>军用头盔</t>
        </is>
      </c>
      <c r="B16" s="9" t="inlineStr">
        <is>
          <t>通用(人形)</t>
        </is>
      </c>
      <c r="C16" s="9" t="inlineStr">
        <is>
          <t>头</t>
        </is>
      </c>
      <c r="D16" s="7" t="inlineStr">
        <is>
          <t>头</t>
        </is>
      </c>
      <c r="E16" s="7" t="n">
        <v>28</v>
      </c>
      <c r="F16" s="7" t="n">
        <v>14</v>
      </c>
      <c r="G16" s="7" t="n">
        <v>2.5</v>
      </c>
      <c r="H16" s="6" t="inlineStr">
        <is>
          <t>钢盔挡得住从天上掉下来的一切。麻烦在于，咬人的东西是从正面扑过来的。</t>
        </is>
      </c>
    </row>
    <row r="17" ht="51" customHeight="1">
      <c r="A17" s="9" t="inlineStr">
        <is>
          <t>防暴头盔</t>
        </is>
      </c>
      <c r="B17" s="9" t="inlineStr">
        <is>
          <t>通用(人形)</t>
        </is>
      </c>
      <c r="C17" s="9" t="inlineStr">
        <is>
          <t>头、眼镜、面部</t>
        </is>
      </c>
      <c r="D17" s="7" t="inlineStr">
        <is>
          <t>头、左眼、右眼、鼻、下巴</t>
        </is>
      </c>
      <c r="E17" s="7" t="n">
        <v>28</v>
      </c>
      <c r="F17" s="7" t="n">
        <v>14</v>
      </c>
      <c r="G17" s="7" t="n">
        <v>4.5</v>
      </c>
      <c r="H17" s="6" t="inlineStr">
        <is>
          <t>面罩挡得下砖头、棍棒和唾沫星子——上一任主人遇上的，不在这三样里。</t>
        </is>
      </c>
    </row>
    <row r="18" ht="34" customHeight="1">
      <c r="A18" s="9" t="inlineStr">
        <is>
          <t>劳保手套</t>
        </is>
      </c>
      <c r="B18" s="9" t="inlineStr">
        <is>
          <t>通用(人形)</t>
        </is>
      </c>
      <c r="C18" s="9" t="inlineStr">
        <is>
          <t>手</t>
        </is>
      </c>
      <c r="D18" s="11" t="inlineStr">
        <is>
          <t>手(含五指)</t>
        </is>
      </c>
      <c r="E18" s="7" t="n">
        <v>6</v>
      </c>
      <c r="F18" s="7" t="n">
        <v>3</v>
      </c>
      <c r="G18" s="7" t="n">
        <v>0.05</v>
      </c>
      <c r="H18" s="6" t="inlineStr">
        <is>
          <t>“劳动人民最光荣。”——奶奶</t>
        </is>
      </c>
    </row>
    <row r="19" ht="17" customHeight="1">
      <c r="A19" s="14" t="inlineStr">
        <is>
          <t>腐皮(丧尸)</t>
        </is>
      </c>
      <c r="B19" s="15" t="inlineStr">
        <is>
          <t>生物·天生(不可穿戴)</t>
        </is>
      </c>
      <c r="C19" s="14" t="inlineStr">
        <is>
          <t>贴身</t>
        </is>
      </c>
      <c r="D19" s="14" t="inlineStr">
        <is>
          <t>全身</t>
        </is>
      </c>
      <c r="E19" s="14" t="n">
        <v>3</v>
      </c>
      <c r="F19" s="14" t="n">
        <v>3</v>
      </c>
      <c r="G19" s="14" t="n">
        <v>0</v>
      </c>
      <c r="H19" s="15" t="inlineStr">
        <is>
          <t>丧尸自带的一层烂皮。</t>
        </is>
      </c>
    </row>
    <row r="20" ht="17" customHeight="1">
      <c r="A20" s="9" t="inlineStr">
        <is>
          <t>布制狗衣</t>
        </is>
      </c>
      <c r="B20" s="6" t="inlineStr">
        <is>
          <t>狗专用(体型)</t>
        </is>
      </c>
      <c r="C20" s="9" t="inlineStr">
        <is>
          <t>身体</t>
        </is>
      </c>
      <c r="D20" s="7" t="inlineStr">
        <is>
          <t>胸、腹</t>
        </is>
      </c>
      <c r="E20" s="7" t="n">
        <v>6</v>
      </c>
      <c r="F20" s="7" t="n">
        <v>3</v>
      </c>
      <c r="G20" s="7" t="n">
        <v>0.15</v>
      </c>
      <c r="H20" s="6" t="inlineStr">
        <is>
          <t>给可爱的狗狗穿上可爱的衣服。</t>
        </is>
      </c>
    </row>
    <row r="21" ht="34" customHeight="1">
      <c r="A21" s="9" t="inlineStr">
        <is>
          <t>皮制狗衣</t>
        </is>
      </c>
      <c r="B21" s="6" t="inlineStr">
        <is>
          <t>狗专用(体型)</t>
        </is>
      </c>
      <c r="C21" s="9" t="inlineStr">
        <is>
          <t>身体</t>
        </is>
      </c>
      <c r="D21" s="7" t="inlineStr">
        <is>
          <t>胸、腹</t>
        </is>
      </c>
      <c r="E21" s="7" t="n">
        <v>12</v>
      </c>
      <c r="F21" s="7" t="n">
        <v>6</v>
      </c>
      <c r="G21" s="7" t="n">
        <v>0.5</v>
      </c>
      <c r="H21" s="6" t="inlineStr">
        <is>
          <t>狗皮外的另一层皮。</t>
        </is>
      </c>
    </row>
    <row r="22" ht="17" customHeight="1">
      <c r="A22" s="9" t="inlineStr">
        <is>
          <t>铁皮头甲</t>
        </is>
      </c>
      <c r="B22" s="6" t="inlineStr">
        <is>
          <t>狗专用(体型)</t>
        </is>
      </c>
      <c r="C22" s="9" t="inlineStr">
        <is>
          <t>头</t>
        </is>
      </c>
      <c r="D22" s="7" t="inlineStr">
        <is>
          <t>头</t>
        </is>
      </c>
      <c r="E22" s="7" t="n">
        <v>18</v>
      </c>
      <c r="F22" s="7" t="n">
        <v>12</v>
      </c>
      <c r="G22" s="7" t="n">
        <v>3</v>
      </c>
      <c r="H22" s="6" t="inlineStr">
        <is>
          <t>狗狗也戴头盔。</t>
        </is>
      </c>
    </row>
    <row r="23" ht="34" customHeight="1">
      <c r="A23" s="9" t="inlineStr">
        <is>
          <t>铁丝头甲</t>
        </is>
      </c>
      <c r="B23" s="6" t="inlineStr">
        <is>
          <t>狗专用(体型)</t>
        </is>
      </c>
      <c r="C23" s="9" t="inlineStr">
        <is>
          <t>头</t>
        </is>
      </c>
      <c r="D23" s="7" t="inlineStr">
        <is>
          <t>头</t>
        </is>
      </c>
      <c r="E23" s="7" t="n">
        <v>12</v>
      </c>
      <c r="F23" s="7" t="n">
        <v>12</v>
      </c>
      <c r="G23" s="7" t="n">
        <v>1.5</v>
      </c>
      <c r="H23" s="6" t="inlineStr">
        <is>
          <t>曾经他是不让狗咬你的，现在他是用来保护狗咬你的。</t>
        </is>
      </c>
    </row>
    <row r="24" ht="17" customHeight="1">
      <c r="A24" s="9" t="inlineStr">
        <is>
          <t>口袋狗衣</t>
        </is>
      </c>
      <c r="B24" s="6" t="inlineStr">
        <is>
          <t>狗专用(体型)</t>
        </is>
      </c>
      <c r="C24" s="9" t="inlineStr">
        <is>
          <t>身体</t>
        </is>
      </c>
      <c r="D24" s="7" t="inlineStr">
        <is>
          <t>胸、腹</t>
        </is>
      </c>
      <c r="E24" s="7" t="n">
        <v>2</v>
      </c>
      <c r="F24" s="7" t="n">
        <v>1</v>
      </c>
      <c r="G24" s="7" t="n">
        <v>0.25</v>
      </c>
      <c r="H24" s="6" t="inlineStr">
        <is>
          <t>好狗，好狗。</t>
        </is>
      </c>
      <c r="I24" t="inlineStr">
        <is>
          <t>为狗提供6kg负重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E7" sqref="E7"/>
    </sheetView>
  </sheetViews>
  <sheetFormatPr baseColWidth="8" defaultColWidth="9" defaultRowHeight="16.8" outlineLevelRow="6"/>
  <cols>
    <col width="12" customWidth="1" min="1" max="1"/>
    <col width="13" customWidth="1" min="2" max="2"/>
    <col width="12" customWidth="1" min="3" max="3"/>
    <col width="16" customWidth="1" min="4" max="4"/>
    <col width="24" customWidth="1" min="5" max="5"/>
    <col width="16" customWidth="1" min="6" max="6"/>
  </cols>
  <sheetData>
    <row r="1">
      <c r="A1" s="1" t="inlineStr">
        <is>
          <t>手术耗材表 — 点数越多手术越容易成功。金底两样(绷带15/草药绷带25)是你定过的，别的暂定。</t>
        </is>
      </c>
      <c r="B1" s="2" t="n"/>
      <c r="C1" s="2" t="n"/>
      <c r="D1" s="2" t="n"/>
      <c r="E1" s="2" t="n"/>
      <c r="F1" s="3" t="n"/>
    </row>
    <row r="2" ht="31" customHeight="1">
      <c r="A2" s="4" t="inlineStr">
        <is>
          <t>名称</t>
        </is>
      </c>
      <c r="B2" s="4" t="inlineStr">
        <is>
          <t>手术加多少点</t>
        </is>
      </c>
      <c r="C2" s="4" t="inlineStr">
        <is>
          <t>用于</t>
        </is>
      </c>
      <c r="D2" s="4" t="inlineStr">
        <is>
          <t>能和别的一起用吗</t>
        </is>
      </c>
      <c r="E2" s="4" t="inlineStr">
        <is>
          <t>说明</t>
        </is>
      </c>
      <c r="F2" s="5" t="inlineStr">
        <is>
          <t>内部编号(勿改)</t>
        </is>
      </c>
    </row>
    <row r="3" ht="17" customHeight="1">
      <c r="A3" s="9" t="inlineStr">
        <is>
          <t>绷带</t>
        </is>
      </c>
      <c r="B3" s="13" t="n">
        <v>15</v>
      </c>
      <c r="C3" s="9" t="inlineStr">
        <is>
          <t>止血</t>
        </is>
      </c>
      <c r="D3" s="9" t="inlineStr">
        <is>
          <t>能</t>
        </is>
      </c>
      <c r="E3" s="6" t="inlineStr">
        <is>
          <t>一块破布有时也能救命</t>
        </is>
      </c>
      <c r="F3" s="8" t="inlineStr">
        <is>
          <t>bandage</t>
        </is>
      </c>
    </row>
    <row r="4" ht="34" customHeight="1">
      <c r="A4" s="9" t="inlineStr">
        <is>
          <t>草药绷带</t>
        </is>
      </c>
      <c r="B4" s="13" t="n">
        <v>25</v>
      </c>
      <c r="C4" s="9" t="inlineStr">
        <is>
          <t>止血</t>
        </is>
      </c>
      <c r="D4" s="9" t="inlineStr">
        <is>
          <t>能</t>
        </is>
      </c>
      <c r="E4" s="6" t="inlineStr">
        <is>
          <t>传统医学，比普通绷带强</t>
        </is>
      </c>
      <c r="F4" s="8" t="inlineStr">
        <is>
          <t>herbal_bandage</t>
        </is>
      </c>
    </row>
    <row r="5" ht="34" customHeight="1">
      <c r="A5" s="9" t="inlineStr">
        <is>
          <t>针线</t>
        </is>
      </c>
      <c r="B5" s="7" t="n">
        <v>15</v>
      </c>
      <c r="C5" s="9" t="inlineStr">
        <is>
          <t>止血</t>
        </is>
      </c>
      <c r="D5" s="9" t="inlineStr">
        <is>
          <t>能</t>
        </is>
      </c>
      <c r="E5" s="6" t="inlineStr">
        <is>
          <t>能缝补你的伤口，却治愈不了你的心</t>
        </is>
      </c>
      <c r="F5" s="8" t="inlineStr">
        <is>
          <t>needle_thread</t>
        </is>
      </c>
    </row>
    <row r="6" ht="17" customHeight="1">
      <c r="A6" s="9" t="inlineStr">
        <is>
          <t>夹板</t>
        </is>
      </c>
      <c r="B6" s="7" t="n">
        <v>25</v>
      </c>
      <c r="C6" s="9" t="inlineStr">
        <is>
          <t>接骨</t>
        </is>
      </c>
      <c r="D6" s="9" t="inlineStr">
        <is>
          <t>能</t>
        </is>
      </c>
      <c r="E6" s="6" t="inlineStr">
        <is>
          <t>这会让它看上去直一些</t>
        </is>
      </c>
      <c r="F6" s="8" t="inlineStr">
        <is>
          <t>splint</t>
        </is>
      </c>
    </row>
    <row r="7" ht="34" customHeight="1">
      <c r="A7" s="9" t="inlineStr">
        <is>
          <t>急救包</t>
        </is>
      </c>
      <c r="B7" s="7" t="n">
        <v>60</v>
      </c>
      <c r="C7" s="9" t="inlineStr">
        <is>
          <t>止血+接骨</t>
        </is>
      </c>
      <c r="D7" s="6" t="inlineStr">
        <is>
          <t>不能(得单独用)</t>
        </is>
      </c>
      <c r="E7" s="6" t="inlineStr">
        <is>
          <t>“一包全搞定”——南丁格尔</t>
        </is>
      </c>
      <c r="F7" s="8" t="inlineStr">
        <is>
          <t>first_aid_kit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H2" sqref="H2"/>
    </sheetView>
  </sheetViews>
  <sheetFormatPr baseColWidth="8" defaultColWidth="9" defaultRowHeight="16.8" outlineLevelRow="5"/>
  <cols>
    <col width="12" customWidth="1" min="1" max="1"/>
    <col width="9" customWidth="1" min="2" max="2"/>
    <col width="20" customWidth="1" min="3" max="4"/>
    <col width="10" customWidth="1" min="5" max="5"/>
    <col width="32" customWidth="1" min="6" max="6"/>
    <col width="16" customWidth="1" min="7" max="7"/>
  </cols>
  <sheetData>
    <row r="1">
      <c r="A1" s="1" t="inlineStr">
        <is>
          <t>感染用药表 — 感染三种药：治得多快 + 用药时把恶化压多慢。金底六个数都是你定过的。</t>
        </is>
      </c>
      <c r="B1" s="2" t="n"/>
      <c r="C1" s="2" t="n"/>
      <c r="D1" s="2" t="n"/>
      <c r="E1" s="2" t="n"/>
      <c r="F1" s="2" t="n"/>
      <c r="G1" s="3" t="n"/>
    </row>
    <row r="2" ht="31" customHeight="1">
      <c r="A2" s="4" t="inlineStr">
        <is>
          <t>名称</t>
        </is>
      </c>
      <c r="B2" s="4" t="inlineStr">
        <is>
          <t>治哪种</t>
        </is>
      </c>
      <c r="C2" s="4" t="inlineStr">
        <is>
          <t>治疗速度(抗生素=100%)</t>
        </is>
      </c>
      <c r="D2" s="4" t="inlineStr">
        <is>
          <t>用药时感染恶化放慢到</t>
        </is>
      </c>
      <c r="E2" s="4" t="inlineStr">
        <is>
          <t>药效强度</t>
        </is>
      </c>
      <c r="F2" s="4" t="inlineStr">
        <is>
          <t>说明</t>
        </is>
      </c>
      <c r="G2" s="5" t="inlineStr">
        <is>
          <t>内部编号(勿改)</t>
        </is>
      </c>
    </row>
    <row r="3" ht="17" customHeight="1">
      <c r="A3" s="9" t="inlineStr">
        <is>
          <t>抗生素</t>
        </is>
      </c>
      <c r="B3" s="9" t="inlineStr">
        <is>
          <t>感染</t>
        </is>
      </c>
      <c r="C3" s="13" t="n">
        <v>100</v>
      </c>
      <c r="D3" s="13" t="inlineStr">
        <is>
          <t>50%</t>
        </is>
      </c>
      <c r="E3" s="7" t="n">
        <v>0.5</v>
      </c>
      <c r="F3" s="6" t="inlineStr">
        <is>
          <t>现代医学的结晶</t>
        </is>
      </c>
      <c r="G3" s="8" t="inlineStr">
        <is>
          <t>antibiotics</t>
        </is>
      </c>
    </row>
    <row r="4" ht="17" customHeight="1">
      <c r="A4" s="9" t="inlineStr">
        <is>
          <t>草药膏</t>
        </is>
      </c>
      <c r="B4" s="9" t="inlineStr">
        <is>
          <t>感染</t>
        </is>
      </c>
      <c r="C4" s="13" t="n">
        <v>35</v>
      </c>
      <c r="D4" s="13" t="inlineStr">
        <is>
          <t>75%</t>
        </is>
      </c>
      <c r="E4" s="7" t="n">
        <v>0.5</v>
      </c>
      <c r="F4" s="6" t="inlineStr">
        <is>
          <t>死马当活马医</t>
        </is>
      </c>
      <c r="G4" s="8" t="inlineStr">
        <is>
          <t>herbal_salve</t>
        </is>
      </c>
    </row>
    <row r="5" ht="17" customHeight="1">
      <c r="A5" s="9" t="inlineStr">
        <is>
          <t>蒲公英茶</t>
        </is>
      </c>
      <c r="B5" s="9" t="inlineStr">
        <is>
          <t>感染</t>
        </is>
      </c>
      <c r="C5" s="13" t="n">
        <v>15</v>
      </c>
      <c r="D5" s="13" t="inlineStr">
        <is>
          <t>85%</t>
        </is>
      </c>
      <c r="E5" s="7" t="n">
        <v>0.5</v>
      </c>
      <c r="F5" s="6" t="inlineStr">
        <is>
          <t>奶奶的最爱</t>
        </is>
      </c>
      <c r="G5" s="8" t="inlineStr">
        <is>
          <t>dandelion_tea</t>
        </is>
      </c>
    </row>
    <row r="6" ht="17" customHeight="1">
      <c r="A6" s="9" t="inlineStr">
        <is>
          <t>成药</t>
        </is>
      </c>
      <c r="B6" s="9" t="inlineStr">
        <is>
          <t>疾病</t>
        </is>
      </c>
      <c r="C6" s="7" t="n">
        <v>100</v>
      </c>
      <c r="D6" s="7" t="inlineStr">
        <is>
          <t>—</t>
        </is>
      </c>
      <c r="E6" s="7" t="n">
        <v>0.6</v>
      </c>
      <c r="F6" s="6" t="inlineStr">
        <is>
          <t>治发热痢疾这类杂病</t>
        </is>
      </c>
      <c r="G6" s="8" t="inlineStr">
        <is>
          <t>medicine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A16" sqref="A16"/>
    </sheetView>
  </sheetViews>
  <sheetFormatPr baseColWidth="8" defaultColWidth="9" defaultRowHeight="16.8"/>
  <cols>
    <col width="24" customWidth="1" min="1" max="1"/>
    <col width="10" customWidth="1" min="2" max="2"/>
    <col width="16" customWidth="1" min="3" max="3"/>
    <col width="34" customWidth="1" min="4" max="4"/>
    <col width="22" customWidth="1" min="5" max="5"/>
  </cols>
  <sheetData>
    <row r="1">
      <c r="A1" s="1" t="inlineStr">
        <is>
          <t>伤病锚点表 — 感染/流血/骨折/手术 背后的关键数字。金底是你定过的，其余暂定、靠测试拉表校准。</t>
        </is>
      </c>
      <c r="B1" s="2" t="n"/>
      <c r="C1" s="2" t="n"/>
      <c r="D1" s="2" t="n"/>
      <c r="E1" s="3" t="n"/>
    </row>
    <row r="2">
      <c r="A2" s="4" t="inlineStr">
        <is>
          <t>项目</t>
        </is>
      </c>
      <c r="B2" s="4" t="inlineStr">
        <is>
          <t>值</t>
        </is>
      </c>
      <c r="C2" s="4" t="inlineStr">
        <is>
          <t>单位/怎么理解</t>
        </is>
      </c>
      <c r="D2" s="4" t="inlineStr">
        <is>
          <t>详细说明</t>
        </is>
      </c>
      <c r="E2" s="5" t="inlineStr">
        <is>
          <t>内部编号(勿改)</t>
        </is>
      </c>
    </row>
    <row r="3">
      <c r="A3" s="1" t="inlineStr">
        <is>
          <t>【感染】</t>
        </is>
      </c>
      <c r="B3" s="2" t="n"/>
      <c r="C3" s="2" t="n"/>
      <c r="D3" s="2" t="n"/>
      <c r="E3" s="3" t="n"/>
    </row>
    <row r="4" ht="17" customHeight="1">
      <c r="A4" s="6" t="inlineStr">
        <is>
          <t>伤口感染的基础概率</t>
        </is>
      </c>
      <c r="B4" s="7" t="n">
        <v>0.45</v>
      </c>
      <c r="C4" s="9" t="inlineStr">
        <is>
          <t>概率</t>
        </is>
      </c>
      <c r="D4" s="6" t="inlineStr">
        <is>
          <t>再乘上流血轻重和伤口大小</t>
        </is>
      </c>
      <c r="E4" s="8" t="inlineStr">
        <is>
          <t>InfectionBaseChance</t>
        </is>
      </c>
    </row>
    <row r="5" ht="17" customHeight="1">
      <c r="A5" s="6" t="inlineStr">
        <is>
          <t>感染每天涨多少</t>
        </is>
      </c>
      <c r="B5" s="7" t="n">
        <v>0.1667</v>
      </c>
      <c r="C5" s="9" t="inlineStr">
        <is>
          <t>每天</t>
        </is>
      </c>
      <c r="D5" s="6" t="inlineStr">
        <is>
          <t>≈第6天涨到头(和流血第7天错开)</t>
        </is>
      </c>
      <c r="E5" s="8" t="inlineStr">
        <is>
          <t>InfectionWorsenPerDay</t>
        </is>
      </c>
    </row>
    <row r="6" ht="34" customHeight="1">
      <c r="A6" s="6" t="inlineStr">
        <is>
          <t>治疗每天推进多少(满速)</t>
        </is>
      </c>
      <c r="B6" s="7" t="n">
        <v>0.67</v>
      </c>
      <c r="C6" s="9" t="inlineStr">
        <is>
          <t>每天</t>
        </is>
      </c>
      <c r="D6" s="6" t="inlineStr">
        <is>
          <t>抗生素满速；实际×这个药的治疗速度</t>
        </is>
      </c>
      <c r="E6" s="8" t="inlineStr">
        <is>
          <t>CureProgressBaseRate</t>
        </is>
      </c>
    </row>
    <row r="7" ht="17" customHeight="1">
      <c r="A7" s="6" t="inlineStr">
        <is>
          <t>伤口几天内还会感染</t>
        </is>
      </c>
      <c r="B7" s="7" t="n">
        <v>4</v>
      </c>
      <c r="C7" s="9" t="inlineStr">
        <is>
          <t>天</t>
        </is>
      </c>
      <c r="D7" s="6" t="inlineStr">
        <is>
          <t>过了这几天就不再新感染</t>
        </is>
      </c>
      <c r="E7" s="8" t="inlineStr">
        <is>
          <t>InfectionWindowDays</t>
        </is>
      </c>
    </row>
    <row r="8" ht="17" customHeight="1">
      <c r="A8" s="6" t="inlineStr">
        <is>
          <t>刚感染时从多少起</t>
        </is>
      </c>
      <c r="B8" s="7" t="n">
        <v>0</v>
      </c>
      <c r="C8" s="9" t="inlineStr">
        <is>
          <t>起点</t>
        </is>
      </c>
      <c r="D8" s="6" t="inlineStr">
        <is>
          <t>新感染从0开始爬</t>
        </is>
      </c>
      <c r="E8" s="8" t="inlineStr">
        <is>
          <t>InfectionInitialSeverity</t>
        </is>
      </c>
    </row>
    <row r="9">
      <c r="A9" s="1" t="inlineStr">
        <is>
          <t>【流血 / 骨折】</t>
        </is>
      </c>
      <c r="B9" s="2" t="n"/>
      <c r="C9" s="2" t="n"/>
      <c r="D9" s="2" t="n"/>
      <c r="E9" s="3" t="n"/>
    </row>
    <row r="10" ht="17" customHeight="1">
      <c r="A10" s="6" t="inlineStr">
        <is>
          <t>不做手术每天流血加重</t>
        </is>
      </c>
      <c r="B10" s="7" t="n">
        <v>0.1</v>
      </c>
      <c r="C10" s="9" t="inlineStr">
        <is>
          <t>每天</t>
        </is>
      </c>
      <c r="D10" s="6" t="inlineStr">
        <is>
          <t>大伤口约第8天流血过多死</t>
        </is>
      </c>
      <c r="E10" s="8" t="inlineStr">
        <is>
          <t>BleedWorsenPerDay</t>
        </is>
      </c>
    </row>
    <row r="11" ht="17" customHeight="1">
      <c r="A11" s="6" t="inlineStr">
        <is>
          <t>小伤口流血最多到</t>
        </is>
      </c>
      <c r="B11" s="7" t="n">
        <v>0.6</v>
      </c>
      <c r="C11" s="9" t="inlineStr">
        <is>
          <t>上限</t>
        </is>
      </c>
      <c r="D11" s="6" t="inlineStr">
        <is>
          <t>小刀口/咬伤不会流血死，只会烂</t>
        </is>
      </c>
      <c r="E11" s="8" t="inlineStr">
        <is>
          <t>MinorBleedSeverityCap</t>
        </is>
      </c>
    </row>
    <row r="12" ht="17" customHeight="1">
      <c r="A12" s="6" t="inlineStr">
        <is>
          <t>做完手术每天愈合(流血)</t>
        </is>
      </c>
      <c r="B12" s="7" t="n">
        <v>0.2</v>
      </c>
      <c r="C12" s="9" t="inlineStr">
        <is>
          <t>每天</t>
        </is>
      </c>
      <c r="D12" s="6" t="inlineStr">
        <is>
          <t>再乘手术成功的效率</t>
        </is>
      </c>
      <c r="E12" s="8" t="inlineStr">
        <is>
          <t>BleedHealPerDay</t>
        </is>
      </c>
    </row>
    <row r="13" ht="17" customHeight="1">
      <c r="A13" s="6" t="inlineStr">
        <is>
          <t>不接骨每天恶化</t>
        </is>
      </c>
      <c r="B13" s="7" t="n">
        <v>0.05</v>
      </c>
      <c r="C13" s="9" t="inlineStr">
        <is>
          <t>每天</t>
        </is>
      </c>
      <c r="D13" s="6" t="inlineStr">
        <is>
          <t>拖久了那条肢体永久残</t>
        </is>
      </c>
      <c r="E13" s="8" t="inlineStr">
        <is>
          <t>FractureMalunionPerDay</t>
        </is>
      </c>
    </row>
    <row r="14" ht="17" customHeight="1">
      <c r="A14" s="6" t="inlineStr">
        <is>
          <t>接骨后每天愈合</t>
        </is>
      </c>
      <c r="B14" s="7" t="n">
        <v>0.24</v>
      </c>
      <c r="C14" s="9" t="inlineStr">
        <is>
          <t>每天</t>
        </is>
      </c>
      <c r="D14" s="6" t="inlineStr">
        <is>
          <t>齐装卧床约7天好</t>
        </is>
      </c>
      <c r="E14" s="8" t="inlineStr">
        <is>
          <t>FractureHealPerDay</t>
        </is>
      </c>
    </row>
    <row r="15">
      <c r="A15" s="1" t="inlineStr">
        <is>
          <t>【手术】</t>
        </is>
      </c>
      <c r="B15" s="2" t="n"/>
      <c r="C15" s="2" t="n"/>
      <c r="D15" s="2" t="n"/>
      <c r="E15" s="3" t="n"/>
    </row>
    <row r="16" ht="17" customHeight="1">
      <c r="A16" s="6" t="inlineStr">
        <is>
          <t>手术底子多少点</t>
        </is>
      </c>
      <c r="B16" s="7" t="n">
        <v>15</v>
      </c>
      <c r="C16" s="9" t="inlineStr">
        <is>
          <t>点</t>
        </is>
      </c>
      <c r="D16" s="6" t="inlineStr">
        <is>
          <t>徒手、没床时的起步点</t>
        </is>
      </c>
      <c r="E16" s="8" t="inlineStr">
        <is>
          <t>SurgeryBasePoints</t>
        </is>
      </c>
    </row>
    <row r="17" ht="17" customHeight="1">
      <c r="A17" s="6" t="inlineStr">
        <is>
          <t>在床上做加多少点</t>
        </is>
      </c>
      <c r="B17" s="7" t="n">
        <v>10</v>
      </c>
      <c r="C17" s="9" t="inlineStr">
        <is>
          <t>点</t>
        </is>
      </c>
      <c r="D17" s="9" t="inlineStr">
        <is>
          <t>有床多10点</t>
        </is>
      </c>
      <c r="E17" s="8" t="inlineStr">
        <is>
          <t>BedBonusPoints</t>
        </is>
      </c>
    </row>
    <row r="18" ht="17" customHeight="1">
      <c r="A18" s="6" t="inlineStr">
        <is>
          <t>掷到多少及以下算失败</t>
        </is>
      </c>
      <c r="B18" s="7" t="n">
        <v>10</v>
      </c>
      <c r="C18" s="9" t="inlineStr">
        <is>
          <t>阈值</t>
        </is>
      </c>
      <c r="D18" s="6" t="inlineStr">
        <is>
          <t>失败要重做，料照样费</t>
        </is>
      </c>
      <c r="E18" s="8" t="inlineStr">
        <is>
          <t>SurgeryFailThreshold</t>
        </is>
      </c>
    </row>
    <row r="19" ht="17" customHeight="1">
      <c r="A19" s="6" t="inlineStr">
        <is>
          <t>点数不到多少不给做</t>
        </is>
      </c>
      <c r="B19" s="7" t="n">
        <v>15</v>
      </c>
      <c r="C19" s="9" t="inlineStr">
        <is>
          <t>门槛</t>
        </is>
      </c>
      <c r="D19" s="6" t="inlineStr">
        <is>
          <t>凑不够就做不了这台手术</t>
        </is>
      </c>
      <c r="E19" s="8" t="inlineStr">
        <is>
          <t>SurgeryMinPoints</t>
        </is>
      </c>
    </row>
    <row r="20" ht="17" customHeight="1">
      <c r="A20" s="6" t="inlineStr">
        <is>
          <t>给自己做打几折</t>
        </is>
      </c>
      <c r="B20" s="7" t="n">
        <v>0.6</v>
      </c>
      <c r="C20" s="9" t="inlineStr">
        <is>
          <t>倍率</t>
        </is>
      </c>
      <c r="D20" s="6" t="inlineStr">
        <is>
          <t>自己给自己动刀更难</t>
        </is>
      </c>
      <c r="E20" s="8" t="inlineStr">
        <is>
          <t>SelfSurgeryFactor</t>
        </is>
      </c>
    </row>
    <row r="21" ht="17" customHeight="1">
      <c r="A21" s="6" t="inlineStr">
        <is>
          <t>隔几天才能重做</t>
        </is>
      </c>
      <c r="B21" s="7" t="n">
        <v>1</v>
      </c>
      <c r="C21" s="9" t="inlineStr">
        <is>
          <t>天</t>
        </is>
      </c>
      <c r="D21" s="6" t="inlineStr">
        <is>
          <t>刚做完不能马上再做</t>
        </is>
      </c>
      <c r="E21" s="8" t="inlineStr">
        <is>
          <t>RedoSurgeryCooldownDays</t>
        </is>
      </c>
    </row>
    <row r="22">
      <c r="A22" s="1" t="inlineStr">
        <is>
          <t>【喝了/睡了有加成】</t>
        </is>
      </c>
      <c r="B22" s="2" t="n"/>
      <c r="C22" s="2" t="n"/>
      <c r="D22" s="2" t="n"/>
      <c r="E22" s="3" t="n"/>
    </row>
    <row r="23" ht="34" customHeight="1">
      <c r="A23" s="6" t="inlineStr">
        <is>
          <t>喝玫瑰果茶恢复快多少</t>
        </is>
      </c>
      <c r="B23" s="13" t="n">
        <v>9</v>
      </c>
      <c r="C23" s="6" t="inlineStr">
        <is>
          <t>百分点·管一天</t>
        </is>
      </c>
      <c r="D23" s="6" t="inlineStr">
        <is>
          <t>喝完一天内恢复快些(续杯只刷新不叠加)</t>
        </is>
      </c>
      <c r="E23" s="8" t="inlineStr">
        <is>
          <t>RosehipTeaHealBonusPct</t>
        </is>
      </c>
    </row>
    <row r="24" ht="17" customHeight="1">
      <c r="A24" s="6" t="inlineStr">
        <is>
          <t>在床上睡觉恢复快多少</t>
        </is>
      </c>
      <c r="B24" s="7" t="n">
        <v>10</v>
      </c>
      <c r="C24" s="9" t="inlineStr">
        <is>
          <t>百分点</t>
        </is>
      </c>
      <c r="D24" s="6" t="inlineStr">
        <is>
          <t>术后睡床比打地铺恢复快</t>
        </is>
      </c>
      <c r="E24" s="8" t="inlineStr">
        <is>
          <t>BedSleepHealBonusPct</t>
        </is>
      </c>
    </row>
  </sheetData>
  <mergeCells count="5">
    <mergeCell ref="A15:E15"/>
    <mergeCell ref="A1:E1"/>
    <mergeCell ref="A22:E22"/>
    <mergeCell ref="A9:E9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A6" sqref="A6"/>
    </sheetView>
  </sheetViews>
  <sheetFormatPr baseColWidth="8" defaultColWidth="9" defaultRowHeight="16.8"/>
  <cols>
    <col width="11" customWidth="1" min="1" max="1"/>
    <col width="8" customWidth="1" min="2" max="2"/>
    <col width="18" customWidth="1" min="3" max="3"/>
    <col width="16" customWidth="1" min="4" max="4"/>
    <col width="22" customWidth="1" min="5" max="5"/>
    <col width="18" customWidth="1" min="6" max="6"/>
  </cols>
  <sheetData>
    <row r="1">
      <c r="A1" s="1" t="inlineStr">
        <is>
          <t>材料表 — 商人肯出多少钱收。价钱暂定；空的表示商人不收。收购价那列会自动算，别改。</t>
        </is>
      </c>
      <c r="B1" s="2" t="n"/>
      <c r="C1" s="2" t="n"/>
      <c r="D1" s="2" t="n"/>
      <c r="E1" s="2" t="n"/>
      <c r="F1" s="3" t="n"/>
    </row>
    <row r="2" ht="31" customHeight="1">
      <c r="A2" s="4" t="inlineStr">
        <is>
          <t>名称</t>
        </is>
      </c>
      <c r="B2" s="4" t="inlineStr">
        <is>
          <t>类别</t>
        </is>
      </c>
      <c r="C2" s="4" t="inlineStr">
        <is>
          <t>商人收多少钱(整银)</t>
        </is>
      </c>
      <c r="D2" s="4" t="inlineStr">
        <is>
          <t>实际收购价(×60%)</t>
        </is>
      </c>
      <c r="E2" s="4" t="inlineStr">
        <is>
          <t>说明</t>
        </is>
      </c>
      <c r="F2" s="5" t="inlineStr">
        <is>
          <t>内部编号(勿改)</t>
        </is>
      </c>
    </row>
    <row r="3" ht="17" customHeight="1">
      <c r="A3" s="9" t="inlineStr">
        <is>
          <t>木料</t>
        </is>
      </c>
      <c r="B3" s="9" t="inlineStr">
        <is>
          <t>木</t>
        </is>
      </c>
      <c r="C3" s="7" t="n">
        <v>2</v>
      </c>
      <c r="D3" s="12">
        <f>ROUND(C3*0.6,2)</f>
        <v/>
      </c>
      <c r="E3" s="6" t="inlineStr">
        <is>
          <t>盖房/生火/做家具</t>
        </is>
      </c>
      <c r="F3" s="8" t="inlineStr">
        <is>
          <t>wood</t>
        </is>
      </c>
    </row>
    <row r="4" ht="17" customHeight="1">
      <c r="A4" s="9" t="inlineStr">
        <is>
          <t>布</t>
        </is>
      </c>
      <c r="B4" s="9" t="inlineStr">
        <is>
          <t>布</t>
        </is>
      </c>
      <c r="C4" s="7" t="n">
        <v>3</v>
      </c>
      <c r="D4" s="12">
        <f>ROUND(C4*0.6,2)</f>
        <v/>
      </c>
      <c r="E4" s="9" t="inlineStr">
        <is>
          <t>整幅的、撕下的碎的，一律算布</t>
        </is>
      </c>
      <c r="F4" s="8" t="inlineStr">
        <is>
          <t>cloth</t>
        </is>
      </c>
    </row>
    <row r="5" ht="17" customHeight="1">
      <c r="A5" s="9" t="inlineStr">
        <is>
          <t>废金属</t>
        </is>
      </c>
      <c r="B5" s="9" t="inlineStr">
        <is>
          <t>金属</t>
        </is>
      </c>
      <c r="C5" s="7" t="n">
        <v>3</v>
      </c>
      <c r="D5" s="12">
        <f>ROUND(C5*0.6,2)</f>
        <v/>
      </c>
      <c r="E5" s="9" t="inlineStr"/>
      <c r="F5" s="8" t="inlineStr">
        <is>
          <t>scrap_metal</t>
        </is>
      </c>
    </row>
    <row r="6" ht="17" customHeight="1">
      <c r="A6" s="9" t="inlineStr">
        <is>
          <t>金属锭</t>
        </is>
      </c>
      <c r="B6" s="9" t="inlineStr">
        <is>
          <t>金属</t>
        </is>
      </c>
      <c r="C6" s="7" t="n">
        <v>8</v>
      </c>
      <c r="D6" s="12">
        <f>ROUND(C6*0.6,2)</f>
        <v/>
      </c>
      <c r="E6" s="9" t="inlineStr"/>
      <c r="F6" s="8" t="inlineStr">
        <is>
          <t>metal_ingot</t>
        </is>
      </c>
    </row>
    <row r="7" ht="17" customHeight="1">
      <c r="A7" s="9" t="inlineStr">
        <is>
          <t>钉子</t>
        </is>
      </c>
      <c r="B7" s="9" t="inlineStr">
        <is>
          <t>金属</t>
        </is>
      </c>
      <c r="C7" s="7" t="n">
        <v>2</v>
      </c>
      <c r="D7" s="12">
        <f>ROUND(C7*0.6,2)</f>
        <v/>
      </c>
      <c r="E7" s="9" t="inlineStr"/>
      <c r="F7" s="8" t="inlineStr">
        <is>
          <t>nails</t>
        </is>
      </c>
    </row>
    <row r="8" ht="17" customHeight="1">
      <c r="A8" s="9" t="inlineStr">
        <is>
          <t>铁丝</t>
        </is>
      </c>
      <c r="B8" s="9" t="inlineStr">
        <is>
          <t>金属</t>
        </is>
      </c>
      <c r="C8" s="7" t="n">
        <v>3</v>
      </c>
      <c r="D8" s="12">
        <f>ROUND(C8*0.6,2)</f>
        <v/>
      </c>
      <c r="E8" s="9" t="inlineStr"/>
      <c r="F8" s="8" t="inlineStr">
        <is>
          <t>wire</t>
        </is>
      </c>
    </row>
    <row r="9" ht="17" customHeight="1">
      <c r="A9" s="9" t="inlineStr">
        <is>
          <t>生皮</t>
        </is>
      </c>
      <c r="B9" s="9" t="inlineStr">
        <is>
          <t>皮</t>
        </is>
      </c>
      <c r="C9" s="7" t="n">
        <v>4</v>
      </c>
      <c r="D9" s="12">
        <f>ROUND(C9*0.6,2)</f>
        <v/>
      </c>
      <c r="E9" s="9" t="inlineStr"/>
      <c r="F9" s="8" t="inlineStr">
        <is>
          <t>rawhide</t>
        </is>
      </c>
    </row>
    <row r="10" ht="17" customHeight="1">
      <c r="A10" s="9" t="inlineStr">
        <is>
          <t>皮革</t>
        </is>
      </c>
      <c r="B10" s="9" t="inlineStr">
        <is>
          <t>皮</t>
        </is>
      </c>
      <c r="C10" s="7" t="n">
        <v>7</v>
      </c>
      <c r="D10" s="12">
        <f>ROUND(C10*0.6,2)</f>
        <v/>
      </c>
      <c r="E10" s="9" t="inlineStr">
        <is>
          <t>鞣好的皮</t>
        </is>
      </c>
      <c r="F10" s="8" t="inlineStr">
        <is>
          <t>leather</t>
        </is>
      </c>
    </row>
    <row r="11" ht="17" customHeight="1">
      <c r="A11" s="9" t="inlineStr">
        <is>
          <t>骨头</t>
        </is>
      </c>
      <c r="B11" s="9" t="inlineStr">
        <is>
          <t>杂项</t>
        </is>
      </c>
      <c r="C11" s="7" t="n">
        <v>2</v>
      </c>
      <c r="D11" s="12">
        <f>ROUND(C11*0.6,2)</f>
        <v/>
      </c>
      <c r="E11" s="9" t="inlineStr"/>
      <c r="F11" s="8" t="inlineStr">
        <is>
          <t>bone</t>
        </is>
      </c>
    </row>
    <row r="12" ht="17" customHeight="1">
      <c r="A12" s="9" t="inlineStr">
        <is>
          <t>火药</t>
        </is>
      </c>
      <c r="B12" s="9" t="inlineStr">
        <is>
          <t>化学</t>
        </is>
      </c>
      <c r="C12" s="7" t="n">
        <v>10</v>
      </c>
      <c r="D12" s="12">
        <f>ROUND(C12*0.6,2)</f>
        <v/>
      </c>
      <c r="E12" s="9" t="inlineStr"/>
      <c r="F12" s="8" t="inlineStr">
        <is>
          <t>gunpowder</t>
        </is>
      </c>
    </row>
    <row r="13" ht="17" customHeight="1">
      <c r="A13" s="9" t="inlineStr">
        <is>
          <t>鞣制药水</t>
        </is>
      </c>
      <c r="B13" s="9" t="inlineStr">
        <is>
          <t>化学</t>
        </is>
      </c>
      <c r="C13" s="7" t="n">
        <v>6</v>
      </c>
      <c r="D13" s="12">
        <f>ROUND(C13*0.6,2)</f>
        <v/>
      </c>
      <c r="E13" s="9" t="inlineStr"/>
      <c r="F13" s="8" t="inlineStr">
        <is>
          <t>tanning_solution</t>
        </is>
      </c>
    </row>
    <row r="14" ht="17" customHeight="1">
      <c r="A14" s="9" t="inlineStr">
        <is>
          <t>燃料</t>
        </is>
      </c>
      <c r="B14" s="9" t="inlineStr">
        <is>
          <t>化学</t>
        </is>
      </c>
      <c r="C14" s="7" t="n">
        <v>8</v>
      </c>
      <c r="D14" s="12">
        <f>ROUND(C14*0.6,2)</f>
        <v/>
      </c>
      <c r="E14" s="9" t="inlineStr">
        <is>
          <t>汽油柴油</t>
        </is>
      </c>
      <c r="F14" s="8" t="inlineStr">
        <is>
          <t>fuel</t>
        </is>
      </c>
    </row>
    <row r="15" ht="17" customHeight="1">
      <c r="A15" s="9" t="inlineStr">
        <is>
          <t>石料</t>
        </is>
      </c>
      <c r="B15" s="9" t="inlineStr">
        <is>
          <t>杂项</t>
        </is>
      </c>
      <c r="C15" s="7" t="n">
        <v>2</v>
      </c>
      <c r="D15" s="12">
        <f>ROUND(C15*0.6,2)</f>
        <v/>
      </c>
      <c r="E15" s="9" t="inlineStr"/>
      <c r="F15" s="8" t="inlineStr">
        <is>
          <t>stone</t>
        </is>
      </c>
    </row>
    <row r="16" ht="17" customHeight="1">
      <c r="A16" s="9" t="inlineStr">
        <is>
          <t>绳子</t>
        </is>
      </c>
      <c r="B16" s="9" t="inlineStr">
        <is>
          <t>杂项</t>
        </is>
      </c>
      <c r="C16" s="7" t="n">
        <v>3</v>
      </c>
      <c r="D16" s="12">
        <f>ROUND(C16*0.6,2)</f>
        <v/>
      </c>
      <c r="E16" s="9" t="inlineStr"/>
      <c r="F16" s="8" t="inlineStr">
        <is>
          <t>rope</t>
        </is>
      </c>
    </row>
    <row r="17" ht="17" customHeight="1">
      <c r="A17" s="9" t="inlineStr">
        <is>
          <t>机械零件</t>
        </is>
      </c>
      <c r="B17" s="9" t="inlineStr">
        <is>
          <t>杂项</t>
        </is>
      </c>
      <c r="C17" s="7" t="n">
        <v>12</v>
      </c>
      <c r="D17" s="12">
        <f>ROUND(C17*0.6,2)</f>
        <v/>
      </c>
      <c r="E17" s="6" t="inlineStr">
        <is>
          <t>精密装置都要它</t>
        </is>
      </c>
      <c r="F17" s="8" t="inlineStr">
        <is>
          <t>components</t>
        </is>
      </c>
    </row>
    <row r="18" ht="17" customHeight="1">
      <c r="A18" s="9" t="inlineStr">
        <is>
          <t>绷带</t>
        </is>
      </c>
      <c r="B18" s="9" t="inlineStr">
        <is>
          <t>医疗</t>
        </is>
      </c>
      <c r="C18" s="7" t="n">
        <v>5</v>
      </c>
      <c r="D18" s="12">
        <f>ROUND(C18*0.6,2)</f>
        <v/>
      </c>
      <c r="E18" s="9" t="inlineStr"/>
      <c r="F18" s="8" t="inlineStr">
        <is>
          <t>bandage</t>
        </is>
      </c>
    </row>
    <row r="19" ht="17" customHeight="1">
      <c r="A19" s="9" t="inlineStr">
        <is>
          <t>针线</t>
        </is>
      </c>
      <c r="B19" s="9" t="inlineStr">
        <is>
          <t>医疗</t>
        </is>
      </c>
      <c r="C19" s="7" t="n">
        <v>6</v>
      </c>
      <c r="D19" s="12">
        <f>ROUND(C19*0.6,2)</f>
        <v/>
      </c>
      <c r="E19" s="9" t="inlineStr"/>
      <c r="F19" s="8" t="inlineStr">
        <is>
          <t>needle_thread</t>
        </is>
      </c>
    </row>
    <row r="20" ht="17" customHeight="1">
      <c r="A20" s="9" t="inlineStr">
        <is>
          <t>夹板</t>
        </is>
      </c>
      <c r="B20" s="9" t="inlineStr">
        <is>
          <t>医疗</t>
        </is>
      </c>
      <c r="C20" s="7" t="n">
        <v>8</v>
      </c>
      <c r="D20" s="12">
        <f>ROUND(C20*0.6,2)</f>
        <v/>
      </c>
      <c r="E20" s="9" t="inlineStr"/>
      <c r="F20" s="8" t="inlineStr">
        <is>
          <t>splint</t>
        </is>
      </c>
    </row>
    <row r="21" ht="17" customHeight="1">
      <c r="A21" s="9" t="inlineStr">
        <is>
          <t>急救包</t>
        </is>
      </c>
      <c r="B21" s="9" t="inlineStr">
        <is>
          <t>医疗</t>
        </is>
      </c>
      <c r="C21" s="7" t="n">
        <v>20</v>
      </c>
      <c r="D21" s="12">
        <f>ROUND(C21*0.6,2)</f>
        <v/>
      </c>
      <c r="E21" s="9" t="inlineStr"/>
      <c r="F21" s="8" t="inlineStr">
        <is>
          <t>first_aid_kit</t>
        </is>
      </c>
    </row>
    <row r="22" ht="17" customHeight="1">
      <c r="A22" s="9" t="inlineStr">
        <is>
          <t>抗生素</t>
        </is>
      </c>
      <c r="B22" s="9" t="inlineStr">
        <is>
          <t>医疗</t>
        </is>
      </c>
      <c r="C22" s="7" t="n">
        <v>15</v>
      </c>
      <c r="D22" s="12">
        <f>ROUND(C22*0.6,2)</f>
        <v/>
      </c>
      <c r="E22" s="9" t="inlineStr"/>
      <c r="F22" s="8" t="inlineStr">
        <is>
          <t>antibiotics</t>
        </is>
      </c>
    </row>
    <row r="23" ht="17" customHeight="1">
      <c r="A23" s="9" t="inlineStr">
        <is>
          <t>成药</t>
        </is>
      </c>
      <c r="B23" s="9" t="inlineStr">
        <is>
          <t>医疗</t>
        </is>
      </c>
      <c r="C23" s="7" t="n">
        <v>10</v>
      </c>
      <c r="D23" s="12">
        <f>ROUND(C23*0.6,2)</f>
        <v/>
      </c>
      <c r="E23" s="9" t="inlineStr"/>
      <c r="F23" s="8" t="inlineStr">
        <is>
          <t>medicine</t>
        </is>
      </c>
    </row>
    <row r="24" ht="17" customHeight="1">
      <c r="A24" s="9" t="inlineStr">
        <is>
          <t>草药绷带</t>
        </is>
      </c>
      <c r="B24" s="9" t="inlineStr">
        <is>
          <t>医疗</t>
        </is>
      </c>
      <c r="C24" s="9" t="inlineStr">
        <is>
          <t>商人不收</t>
        </is>
      </c>
      <c r="D24" s="9" t="inlineStr">
        <is>
          <t>—</t>
        </is>
      </c>
      <c r="E24" s="9" t="inlineStr"/>
      <c r="F24" s="8" t="inlineStr">
        <is>
          <t>herbal_bandage</t>
        </is>
      </c>
    </row>
    <row r="25" ht="17" customHeight="1">
      <c r="A25" s="9" t="inlineStr">
        <is>
          <t>蒲公英</t>
        </is>
      </c>
      <c r="B25" s="9" t="inlineStr">
        <is>
          <t>医疗</t>
        </is>
      </c>
      <c r="C25" s="9" t="inlineStr">
        <is>
          <t>商人不收</t>
        </is>
      </c>
      <c r="D25" s="9" t="inlineStr">
        <is>
          <t>—</t>
        </is>
      </c>
      <c r="E25" s="9" t="inlineStr"/>
      <c r="F25" s="8" t="inlineStr">
        <is>
          <t>dandelion</t>
        </is>
      </c>
    </row>
    <row r="26" ht="17" customHeight="1">
      <c r="A26" s="9" t="inlineStr">
        <is>
          <t>玫瑰果</t>
        </is>
      </c>
      <c r="B26" s="9" t="inlineStr">
        <is>
          <t>医疗</t>
        </is>
      </c>
      <c r="C26" s="9" t="inlineStr">
        <is>
          <t>商人不收</t>
        </is>
      </c>
      <c r="D26" s="9" t="inlineStr">
        <is>
          <t>—</t>
        </is>
      </c>
      <c r="E26" s="9" t="inlineStr"/>
      <c r="F26" s="8" t="inlineStr">
        <is>
          <t>rosehip</t>
        </is>
      </c>
    </row>
    <row r="27" ht="17" customHeight="1">
      <c r="A27" s="9" t="inlineStr">
        <is>
          <t>老君须</t>
        </is>
      </c>
      <c r="B27" s="9" t="inlineStr">
        <is>
          <t>医疗</t>
        </is>
      </c>
      <c r="C27" s="9" t="inlineStr">
        <is>
          <t>商人不收</t>
        </is>
      </c>
      <c r="D27" s="9" t="inlineStr">
        <is>
          <t>—</t>
        </is>
      </c>
      <c r="E27" s="9" t="inlineStr"/>
      <c r="F27" s="8" t="inlineStr">
        <is>
          <t>laojunxu</t>
        </is>
      </c>
    </row>
    <row r="28" ht="17" customHeight="1">
      <c r="A28" s="9" t="inlineStr">
        <is>
          <t>草药膏</t>
        </is>
      </c>
      <c r="B28" s="9" t="inlineStr">
        <is>
          <t>医疗</t>
        </is>
      </c>
      <c r="C28" s="9" t="inlineStr">
        <is>
          <t>商人不收</t>
        </is>
      </c>
      <c r="D28" s="9" t="inlineStr">
        <is>
          <t>—</t>
        </is>
      </c>
      <c r="E28" s="9" t="inlineStr"/>
      <c r="F28" s="8" t="inlineStr">
        <is>
          <t>herbal_salve</t>
        </is>
      </c>
    </row>
    <row r="29" ht="17" customHeight="1">
      <c r="A29" s="9" t="inlineStr">
        <is>
          <t>蒲公英茶</t>
        </is>
      </c>
      <c r="B29" s="9" t="inlineStr">
        <is>
          <t>医疗</t>
        </is>
      </c>
      <c r="C29" s="9" t="inlineStr">
        <is>
          <t>商人不收</t>
        </is>
      </c>
      <c r="D29" s="9" t="inlineStr">
        <is>
          <t>—</t>
        </is>
      </c>
      <c r="E29" s="9" t="inlineStr"/>
      <c r="F29" s="8" t="inlineStr">
        <is>
          <t>dandelion_tea</t>
        </is>
      </c>
    </row>
    <row r="30" ht="17" customHeight="1">
      <c r="A30" s="9" t="inlineStr">
        <is>
          <t>玫瑰果茶</t>
        </is>
      </c>
      <c r="B30" s="9" t="inlineStr">
        <is>
          <t>医疗</t>
        </is>
      </c>
      <c r="C30" s="9" t="inlineStr">
        <is>
          <t>商人不收</t>
        </is>
      </c>
      <c r="D30" s="9" t="inlineStr">
        <is>
          <t>—</t>
        </is>
      </c>
      <c r="E30" s="9" t="inlineStr"/>
      <c r="F30" s="8" t="inlineStr">
        <is>
          <t>rosehip_tea</t>
        </is>
      </c>
    </row>
    <row r="31" ht="17" customHeight="1">
      <c r="A31" s="9" t="inlineStr">
        <is>
          <t>白银</t>
        </is>
      </c>
      <c r="B31" s="9" t="inlineStr">
        <is>
          <t>货币</t>
        </is>
      </c>
      <c r="C31" s="9" t="inlineStr">
        <is>
          <t>商人不收</t>
        </is>
      </c>
      <c r="D31" s="9" t="inlineStr">
        <is>
          <t>—</t>
        </is>
      </c>
      <c r="E31" s="6" t="inlineStr">
        <is>
          <t>唯一硬通货，可堆叠</t>
        </is>
      </c>
      <c r="F31" s="8" t="inlineStr">
        <is>
          <t>silver</t>
        </is>
      </c>
    </row>
    <row r="32" ht="17" customHeight="1">
      <c r="A32" s="9" t="inlineStr">
        <is>
          <t>子弹零件</t>
        </is>
      </c>
      <c r="B32" s="9" t="inlineStr">
        <is>
          <t>金属</t>
        </is>
      </c>
      <c r="C32" s="7" t="n">
        <v>12</v>
      </c>
      <c r="D32" s="12">
        <f>ROUND(C32*0.6,2)</f>
        <v/>
      </c>
      <c r="E32" s="6" t="inlineStr">
        <is>
          <t>弹壳底火弹头坯。四种子弹的唯一共同原料——捡完了，枪就只是根铁棍</t>
        </is>
      </c>
      <c r="F32" s="8" t="inlineStr">
        <is>
          <t>bullet_parts</t>
        </is>
      </c>
    </row>
    <row r="33" ht="51" customHeight="1">
      <c r="A33" s="9" t="inlineStr">
        <is>
          <t>短子弹</t>
        </is>
      </c>
      <c r="B33" s="9" t="inlineStr">
        <is>
          <t>弹药</t>
        </is>
      </c>
      <c r="C33" s="7" t="n">
        <v>4</v>
      </c>
      <c r="D33" s="12">
        <f>ROUND(C33*0.6,2)</f>
        <v/>
      </c>
      <c r="E33" s="6" t="inlineStr">
        <is>
          <t>手枪/冲锋枪。一个零件造 8 发，最不值钱的一种子弹</t>
        </is>
      </c>
      <c r="F33" s="8" t="inlineStr">
        <is>
          <t>ammo_short</t>
        </is>
      </c>
    </row>
    <row r="34" ht="51" customHeight="1">
      <c r="A34" s="9" t="inlineStr">
        <is>
          <t>中子弹</t>
        </is>
      </c>
      <c r="B34" s="9" t="inlineStr">
        <is>
          <t>弹药</t>
        </is>
      </c>
      <c r="C34" s="7" t="n">
        <v>7</v>
      </c>
      <c r="D34" s="12">
        <f>ROUND(C34*0.6,2)</f>
        <v/>
      </c>
      <c r="E34" s="6" t="inlineStr">
        <is>
          <t>自制猎枪/步枪/栓动猎枪。一个零件造 5 发</t>
        </is>
      </c>
      <c r="F34" s="8" t="inlineStr">
        <is>
          <t>ammo_medium</t>
        </is>
      </c>
    </row>
    <row r="35" ht="51" customHeight="1">
      <c r="A35" s="9" t="inlineStr">
        <is>
          <t>鹿弹</t>
        </is>
      </c>
      <c r="B35" s="9" t="inlineStr">
        <is>
          <t>弹药</t>
        </is>
      </c>
      <c r="C35" s="7" t="n">
        <v>9</v>
      </c>
      <c r="D35" s="12">
        <f>ROUND(C35*0.6,2)</f>
        <v/>
      </c>
      <c r="E35" s="6" t="inlineStr">
        <is>
          <t>自制霰弹枪。一个零件造 4 发，一发塞八颗铅丸</t>
        </is>
      </c>
      <c r="F35" s="8" t="inlineStr">
        <is>
          <t>ammo_buck</t>
        </is>
      </c>
    </row>
    <row r="36" ht="51" customHeight="1">
      <c r="A36" s="9" t="inlineStr">
        <is>
          <t>长子弹</t>
        </is>
      </c>
      <c r="B36" s="9" t="inlineStr">
        <is>
          <t>弹药</t>
        </is>
      </c>
      <c r="C36" s="7" t="n">
        <v>18</v>
      </c>
      <c r="D36" s="12">
        <f>ROUND(C36*0.6,2)</f>
        <v/>
      </c>
      <c r="E36" s="6" t="inlineStr">
        <is>
          <t>狙击枪。一个零件只造 2 发——全表最贵的一发</t>
        </is>
      </c>
      <c r="F36" s="8" t="inlineStr">
        <is>
          <t>ammo_long</t>
        </is>
      </c>
    </row>
    <row r="37">
      <c r="A37" s="9" t="inlineStr">
        <is>
          <t>废木料</t>
        </is>
      </c>
      <c r="B37" s="9" t="inlineStr">
        <is>
          <t>木</t>
        </is>
      </c>
      <c r="C37" s="7" t="n">
        <v>1</v>
      </c>
      <c r="D37" s="12">
        <f>ROUND(C37*0.6,2)</f>
        <v/>
      </c>
      <c r="E37" s="6" t="inlineStr">
        <is>
          <t>拆东西掉出来的碎料。盖不了任何东西——得先用胶水在锯片工作台上粘回木料</t>
        </is>
      </c>
      <c r="F37" s="8" t="inlineStr">
        <is>
          <t>scrap_wood</t>
        </is>
      </c>
    </row>
    <row r="38">
      <c r="A38" s="9" t="inlineStr">
        <is>
          <t>胶水</t>
        </is>
      </c>
      <c r="B38" s="9" t="inlineStr">
        <is>
          <t>化学</t>
        </is>
      </c>
      <c r="C38" s="7" t="n">
        <v>10</v>
      </c>
      <c r="D38" s="12">
        <f>ROUND(C38*0.6,2)</f>
        <v/>
      </c>
      <c r="E38" s="6" t="inlineStr">
        <is>
          <t>熬骨胶。粘废木料的唯一办法，所以拆下来的木头要不要回收，全看有没有它</t>
        </is>
      </c>
      <c r="F38" s="8" t="inlineStr">
        <is>
          <t>glue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A1" sqref="A1:J1"/>
    </sheetView>
  </sheetViews>
  <sheetFormatPr baseColWidth="8" defaultColWidth="9" defaultRowHeight="16.8"/>
  <cols>
    <col width="11" customWidth="1" min="1" max="1"/>
    <col width="7" customWidth="1" min="2" max="2"/>
    <col width="30" customWidth="1" min="3" max="3"/>
    <col width="12" customWidth="1" min="4" max="4"/>
    <col width="13" customWidth="1" min="5" max="5"/>
    <col width="14" customWidth="1" min="6" max="6"/>
    <col width="22" customWidth="1" min="7" max="7"/>
    <col width="8" customWidth="1" min="8" max="8"/>
    <col width="14" customWidth="1" min="9" max="9"/>
    <col width="18" customWidth="1" min="10" max="10"/>
  </cols>
  <sheetData>
    <row r="1">
      <c r="A1" s="1" t="inlineStr">
        <is>
          <t>配方表 — 做一样东西要的料/时间/条件。材料和工时都暂定，随便调。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产物</t>
        </is>
      </c>
      <c r="B2" s="4" t="inlineStr">
        <is>
          <t>做几个</t>
        </is>
      </c>
      <c r="C2" s="4" t="inlineStr">
        <is>
          <t>要什么材料</t>
        </is>
      </c>
      <c r="D2" s="4" t="inlineStr">
        <is>
          <t>花多久(分钟)</t>
        </is>
      </c>
      <c r="E2" s="4" t="inlineStr">
        <is>
          <t>需要的工作台</t>
        </is>
      </c>
      <c r="F2" s="4" t="inlineStr">
        <is>
          <t>需要读的书</t>
        </is>
      </c>
      <c r="G2" s="4" t="inlineStr">
        <is>
          <t>谁能做</t>
        </is>
      </c>
      <c r="H2" s="4" t="inlineStr">
        <is>
          <t>分类</t>
        </is>
      </c>
      <c r="I2" s="4" t="inlineStr">
        <is>
          <t>说明</t>
        </is>
      </c>
      <c r="J2" s="5" t="inlineStr">
        <is>
          <t>内部编号(勿改)</t>
        </is>
      </c>
    </row>
    <row r="3" ht="17" customHeight="1">
      <c r="A3" s="9" t="inlineStr">
        <is>
          <t>骨刀</t>
        </is>
      </c>
      <c r="B3" s="7" t="n">
        <v>1</v>
      </c>
      <c r="C3" s="11" t="inlineStr">
        <is>
          <t>骨头×2、布×1</t>
        </is>
      </c>
      <c r="D3" s="7" t="n">
        <v>45</v>
      </c>
      <c r="E3" s="9" t="inlineStr">
        <is>
          <t>—</t>
        </is>
      </c>
      <c r="F3" s="9" t="inlineStr">
        <is>
          <t>野外生存指南</t>
        </is>
      </c>
      <c r="G3" s="9" t="inlineStr">
        <is>
          <t>谁都行</t>
        </is>
      </c>
      <c r="H3" s="9" t="inlineStr">
        <is>
          <t>杂项</t>
        </is>
      </c>
      <c r="I3" s="9" t="inlineStr"/>
      <c r="J3" s="8" t="inlineStr">
        <is>
          <t>bone_knife</t>
        </is>
      </c>
    </row>
    <row r="4" ht="17" customHeight="1">
      <c r="A4" s="9" t="inlineStr">
        <is>
          <t>粗布背心</t>
        </is>
      </c>
      <c r="B4" s="7" t="n">
        <v>1</v>
      </c>
      <c r="C4" s="11" t="inlineStr">
        <is>
          <t>布×4</t>
        </is>
      </c>
      <c r="D4" s="7" t="n">
        <v>90</v>
      </c>
      <c r="E4" s="9" t="inlineStr">
        <is>
          <t>—</t>
        </is>
      </c>
      <c r="F4" s="9" t="inlineStr">
        <is>
          <t>裁缝手记</t>
        </is>
      </c>
      <c r="G4" s="9" t="inlineStr">
        <is>
          <t>谁都行</t>
        </is>
      </c>
      <c r="H4" s="9" t="inlineStr">
        <is>
          <t>缝纫</t>
        </is>
      </c>
      <c r="I4" s="9" t="inlineStr">
        <is>
          <t>做出来是护甲</t>
        </is>
      </c>
      <c r="J4" s="8" t="inlineStr">
        <is>
          <t>cloth_vest</t>
        </is>
      </c>
    </row>
    <row r="5" ht="17" customHeight="1">
      <c r="A5" s="9" t="inlineStr">
        <is>
          <t>布夹克</t>
        </is>
      </c>
      <c r="B5" s="7" t="n">
        <v>1</v>
      </c>
      <c r="C5" s="11" t="inlineStr">
        <is>
          <t>布×6</t>
        </is>
      </c>
      <c r="D5" s="7" t="n">
        <v>150</v>
      </c>
      <c r="E5" s="9" t="inlineStr">
        <is>
          <t>—</t>
        </is>
      </c>
      <c r="F5" s="9" t="inlineStr">
        <is>
          <t>裁缝手记</t>
        </is>
      </c>
      <c r="G5" s="9" t="inlineStr">
        <is>
          <t>谁都行</t>
        </is>
      </c>
      <c r="H5" s="9" t="inlineStr">
        <is>
          <t>缝纫</t>
        </is>
      </c>
      <c r="I5" s="9" t="inlineStr">
        <is>
          <t>做出来是护甲(有袖子)</t>
        </is>
      </c>
      <c r="J5" s="8" t="inlineStr">
        <is>
          <t>cloth_jacket</t>
        </is>
      </c>
    </row>
    <row r="6" ht="17" customHeight="1">
      <c r="A6" s="9" t="inlineStr">
        <is>
          <t>板凳</t>
        </is>
      </c>
      <c r="B6" s="7" t="n">
        <v>1</v>
      </c>
      <c r="C6" s="7" t="inlineStr">
        <is>
          <t>木料×2</t>
        </is>
      </c>
      <c r="D6" s="7" t="n">
        <v>60</v>
      </c>
      <c r="E6" s="9" t="inlineStr">
        <is>
          <t>—</t>
        </is>
      </c>
      <c r="F6" s="9" t="inlineStr">
        <is>
          <t>不用</t>
        </is>
      </c>
      <c r="G6" s="9" t="inlineStr">
        <is>
          <t>谁都行</t>
        </is>
      </c>
      <c r="H6" s="9" t="inlineStr">
        <is>
          <t>木工</t>
        </is>
      </c>
      <c r="I6" s="9" t="inlineStr">
        <is>
          <t>开局就能做</t>
        </is>
      </c>
      <c r="J6" s="8" t="inlineStr">
        <is>
          <t>bench</t>
        </is>
      </c>
    </row>
    <row r="7" ht="17" customHeight="1">
      <c r="A7" s="9" t="inlineStr">
        <is>
          <t>木椅</t>
        </is>
      </c>
      <c r="B7" s="7" t="n">
        <v>1</v>
      </c>
      <c r="C7" s="11" t="inlineStr">
        <is>
          <t>木料×4、钉子×2</t>
        </is>
      </c>
      <c r="D7" s="7" t="n">
        <v>150</v>
      </c>
      <c r="E7" s="9" t="inlineStr">
        <is>
          <t>锯片</t>
        </is>
      </c>
      <c r="F7" s="9" t="inlineStr">
        <is>
          <t>木匠入门</t>
        </is>
      </c>
      <c r="G7" s="9" t="inlineStr">
        <is>
          <t>谁都行</t>
        </is>
      </c>
      <c r="H7" s="9" t="inlineStr">
        <is>
          <t>木工</t>
        </is>
      </c>
      <c r="I7" s="9" t="inlineStr"/>
      <c r="J7" s="8" t="inlineStr">
        <is>
          <t>chair</t>
        </is>
      </c>
    </row>
    <row r="8" ht="17" customHeight="1">
      <c r="A8" s="9" t="inlineStr">
        <is>
          <t>火药</t>
        </is>
      </c>
      <c r="B8" s="7" t="n">
        <v>2</v>
      </c>
      <c r="C8" s="11" t="inlineStr">
        <is>
          <t>石料×1、燃料×1</t>
        </is>
      </c>
      <c r="D8" s="7" t="n">
        <v>60</v>
      </c>
      <c r="E8" s="9" t="inlineStr">
        <is>
          <t>烧杯</t>
        </is>
      </c>
      <c r="F8" s="9" t="inlineStr">
        <is>
          <t>土法化学笔记</t>
        </is>
      </c>
      <c r="G8" s="9" t="inlineStr">
        <is>
          <t>谁都行</t>
        </is>
      </c>
      <c r="H8" s="9" t="inlineStr">
        <is>
          <t>化学</t>
        </is>
      </c>
      <c r="I8" s="9" t="inlineStr"/>
      <c r="J8" s="8" t="inlineStr">
        <is>
          <t>gunpowder</t>
        </is>
      </c>
    </row>
    <row r="9" ht="17" customHeight="1">
      <c r="A9" s="9" t="inlineStr">
        <is>
          <t>鞣制药水</t>
        </is>
      </c>
      <c r="B9" s="7" t="n">
        <v>2</v>
      </c>
      <c r="C9" s="11" t="inlineStr">
        <is>
          <t>燃料×1、石料×1</t>
        </is>
      </c>
      <c r="D9" s="7" t="n">
        <v>60</v>
      </c>
      <c r="E9" s="9" t="inlineStr">
        <is>
          <t>烧杯</t>
        </is>
      </c>
      <c r="F9" s="9" t="inlineStr">
        <is>
          <t>土法化学笔记</t>
        </is>
      </c>
      <c r="G9" s="9" t="inlineStr">
        <is>
          <t>谁都行</t>
        </is>
      </c>
      <c r="H9" s="9" t="inlineStr">
        <is>
          <t>化学</t>
        </is>
      </c>
      <c r="I9" s="9" t="inlineStr"/>
      <c r="J9" s="8" t="inlineStr">
        <is>
          <t>tanning_solution</t>
        </is>
      </c>
    </row>
    <row r="10" ht="17" customHeight="1">
      <c r="A10" s="9" t="inlineStr">
        <is>
          <t>自制弓</t>
        </is>
      </c>
      <c r="B10" s="7" t="n">
        <v>1</v>
      </c>
      <c r="C10" s="11" t="inlineStr">
        <is>
          <t>木料×2、绳子×1</t>
        </is>
      </c>
      <c r="D10" s="7" t="n">
        <v>120</v>
      </c>
      <c r="E10" s="9" t="inlineStr">
        <is>
          <t>卡尺</t>
        </is>
      </c>
      <c r="F10" s="9" t="inlineStr">
        <is>
          <t>木匠入门</t>
        </is>
      </c>
      <c r="G10" s="9" t="inlineStr">
        <is>
          <t>谁都行</t>
        </is>
      </c>
      <c r="H10" s="9" t="inlineStr">
        <is>
          <t>精工</t>
        </is>
      </c>
      <c r="I10" s="9" t="inlineStr"/>
      <c r="J10" s="8" t="inlineStr">
        <is>
          <t>handmade_bow</t>
        </is>
      </c>
    </row>
    <row r="11" ht="17" customHeight="1">
      <c r="A11" s="9" t="inlineStr">
        <is>
          <t>火把</t>
        </is>
      </c>
      <c r="B11" s="7" t="n">
        <v>1</v>
      </c>
      <c r="C11" s="11" t="inlineStr">
        <is>
          <t>木料×1、布×1、燃料×1</t>
        </is>
      </c>
      <c r="D11" s="7" t="n">
        <v>20</v>
      </c>
      <c r="E11" s="9" t="inlineStr">
        <is>
          <t>—</t>
        </is>
      </c>
      <c r="F11" s="9" t="inlineStr">
        <is>
          <t>不用</t>
        </is>
      </c>
      <c r="G11" s="9" t="inlineStr">
        <is>
          <t>谁都行</t>
        </is>
      </c>
      <c r="H11" s="9" t="inlineStr">
        <is>
          <t>杂项</t>
        </is>
      </c>
      <c r="I11" s="9" t="inlineStr">
        <is>
          <t>手持光源</t>
        </is>
      </c>
      <c r="J11" s="8" t="inlineStr">
        <is>
          <t>torch</t>
        </is>
      </c>
    </row>
    <row r="12" ht="34" customHeight="1">
      <c r="A12" s="9" t="inlineStr">
        <is>
          <t>草药膏</t>
        </is>
      </c>
      <c r="B12" s="7" t="n">
        <v>1</v>
      </c>
      <c r="C12" s="11" t="inlineStr">
        <is>
          <t>蒲公英×1、玫瑰果×1、老君须×1</t>
        </is>
      </c>
      <c r="D12" s="7" t="n">
        <v>40</v>
      </c>
      <c r="E12" s="9" t="inlineStr">
        <is>
          <t>—</t>
        </is>
      </c>
      <c r="F12" s="9" t="inlineStr">
        <is>
          <t>不用</t>
        </is>
      </c>
      <c r="G12" s="9" t="inlineStr">
        <is>
          <t>谁都行</t>
        </is>
      </c>
      <c r="H12" s="9" t="inlineStr">
        <is>
          <t>杂项</t>
        </is>
      </c>
      <c r="I12" s="6" t="inlineStr">
        <is>
          <t>治感染(次选)</t>
        </is>
      </c>
      <c r="J12" s="8" t="inlineStr">
        <is>
          <t>herbal_salve</t>
        </is>
      </c>
    </row>
    <row r="13" ht="17" customHeight="1">
      <c r="A13" s="9" t="inlineStr">
        <is>
          <t>蒲公英茶</t>
        </is>
      </c>
      <c r="B13" s="7" t="n">
        <v>1</v>
      </c>
      <c r="C13" s="7" t="inlineStr">
        <is>
          <t>蒲公英×2</t>
        </is>
      </c>
      <c r="D13" s="7" t="n">
        <v>15</v>
      </c>
      <c r="E13" s="9" t="inlineStr">
        <is>
          <t>—</t>
        </is>
      </c>
      <c r="F13" s="9" t="inlineStr">
        <is>
          <t>不用</t>
        </is>
      </c>
      <c r="G13" s="9" t="inlineStr">
        <is>
          <t>谁都行</t>
        </is>
      </c>
      <c r="H13" s="9" t="inlineStr">
        <is>
          <t>杂项</t>
        </is>
      </c>
      <c r="I13" s="6" t="inlineStr">
        <is>
          <t>治感染(最弱)</t>
        </is>
      </c>
      <c r="J13" s="8" t="inlineStr">
        <is>
          <t>dandelion_tea</t>
        </is>
      </c>
    </row>
    <row r="14" ht="17" customHeight="1">
      <c r="A14" s="9" t="inlineStr">
        <is>
          <t>草药绷带</t>
        </is>
      </c>
      <c r="B14" s="7" t="n">
        <v>1</v>
      </c>
      <c r="C14" s="11" t="inlineStr">
        <is>
          <t>老君须×1、绷带×1</t>
        </is>
      </c>
      <c r="D14" s="7" t="n">
        <v>20</v>
      </c>
      <c r="E14" s="9" t="inlineStr">
        <is>
          <t>—</t>
        </is>
      </c>
      <c r="F14" s="9" t="inlineStr">
        <is>
          <t>不用</t>
        </is>
      </c>
      <c r="G14" s="9" t="inlineStr">
        <is>
          <t>谁都行</t>
        </is>
      </c>
      <c r="H14" s="9" t="inlineStr">
        <is>
          <t>杂项</t>
        </is>
      </c>
      <c r="I14" s="9" t="inlineStr">
        <is>
          <t>止血更强</t>
        </is>
      </c>
      <c r="J14" s="8" t="inlineStr">
        <is>
          <t>herbal_bandage</t>
        </is>
      </c>
    </row>
    <row r="15" ht="34" customHeight="1">
      <c r="A15" s="9" t="inlineStr">
        <is>
          <t>玫瑰果茶</t>
        </is>
      </c>
      <c r="B15" s="7" t="n">
        <v>1</v>
      </c>
      <c r="C15" s="7" t="inlineStr">
        <is>
          <t>玫瑰果×2</t>
        </is>
      </c>
      <c r="D15" s="7" t="n">
        <v>15</v>
      </c>
      <c r="E15" s="9" t="inlineStr">
        <is>
          <t>—</t>
        </is>
      </c>
      <c r="F15" s="9" t="inlineStr">
        <is>
          <t>不用</t>
        </is>
      </c>
      <c r="G15" s="9" t="inlineStr">
        <is>
          <t>谁都行</t>
        </is>
      </c>
      <c r="H15" s="9" t="inlineStr">
        <is>
          <t>杂项</t>
        </is>
      </c>
      <c r="I15" s="6" t="inlineStr">
        <is>
          <t>喝了恢复快一天</t>
        </is>
      </c>
      <c r="J15" s="8" t="inlineStr">
        <is>
          <t>rosehip_tea</t>
        </is>
      </c>
    </row>
    <row r="16" ht="34" customHeight="1">
      <c r="A16" s="9" t="inlineStr">
        <is>
          <t>布制狗衣</t>
        </is>
      </c>
      <c r="B16" s="7" t="n">
        <v>1</v>
      </c>
      <c r="C16" s="11" t="inlineStr">
        <is>
          <t>布×3</t>
        </is>
      </c>
      <c r="D16" s="7" t="n">
        <v>50</v>
      </c>
      <c r="E16" s="9" t="inlineStr">
        <is>
          <t>—</t>
        </is>
      </c>
      <c r="F16" s="9" t="inlineStr">
        <is>
          <t>不用</t>
        </is>
      </c>
      <c r="G16" s="6" t="inlineStr">
        <is>
          <t>道格·和布鲁斯羁绊满2级</t>
        </is>
      </c>
      <c r="H16" s="9" t="inlineStr">
        <is>
          <t>缝纫</t>
        </is>
      </c>
      <c r="I16" s="9" t="inlineStr">
        <is>
          <t>狗甲</t>
        </is>
      </c>
      <c r="J16" s="8" t="inlineStr">
        <is>
          <t>dog_cloth_vest</t>
        </is>
      </c>
    </row>
    <row r="17" ht="34" customHeight="1">
      <c r="A17" s="9" t="inlineStr">
        <is>
          <t>皮制狗衣</t>
        </is>
      </c>
      <c r="B17" s="7" t="n">
        <v>1</v>
      </c>
      <c r="C17" s="11" t="inlineStr">
        <is>
          <t>皮革×2、绳子×1</t>
        </is>
      </c>
      <c r="D17" s="7" t="n">
        <v>70</v>
      </c>
      <c r="E17" s="9" t="inlineStr">
        <is>
          <t>—</t>
        </is>
      </c>
      <c r="F17" s="9" t="inlineStr">
        <is>
          <t>不用</t>
        </is>
      </c>
      <c r="G17" s="6" t="inlineStr">
        <is>
          <t>道格·和布鲁斯羁绊满2级</t>
        </is>
      </c>
      <c r="H17" s="9" t="inlineStr">
        <is>
          <t>缝纫</t>
        </is>
      </c>
      <c r="I17" s="9" t="inlineStr">
        <is>
          <t>狗甲</t>
        </is>
      </c>
      <c r="J17" s="8" t="inlineStr">
        <is>
          <t>dog_leather_vest</t>
        </is>
      </c>
    </row>
    <row r="18" ht="34" customHeight="1">
      <c r="A18" s="9" t="inlineStr">
        <is>
          <t>口袋狗衣</t>
        </is>
      </c>
      <c r="B18" s="7" t="n">
        <v>1</v>
      </c>
      <c r="C18" s="11" t="inlineStr">
        <is>
          <t>布×3、绳子×1</t>
        </is>
      </c>
      <c r="D18" s="7" t="n">
        <v>60</v>
      </c>
      <c r="E18" s="9" t="inlineStr">
        <is>
          <t>—</t>
        </is>
      </c>
      <c r="F18" s="9" t="inlineStr">
        <is>
          <t>不用</t>
        </is>
      </c>
      <c r="G18" s="6" t="inlineStr">
        <is>
          <t>道格·和布鲁斯羁绊满2级</t>
        </is>
      </c>
      <c r="H18" s="9" t="inlineStr">
        <is>
          <t>缝纫</t>
        </is>
      </c>
      <c r="I18" s="9" t="inlineStr">
        <is>
          <t>帮狗背东西</t>
        </is>
      </c>
      <c r="J18" s="8" t="inlineStr">
        <is>
          <t>dog_pocket_vest</t>
        </is>
      </c>
    </row>
    <row r="19" ht="34" customHeight="1">
      <c r="A19" s="9" t="inlineStr">
        <is>
          <t>铁皮头甲</t>
        </is>
      </c>
      <c r="B19" s="7" t="n">
        <v>1</v>
      </c>
      <c r="C19" s="11" t="inlineStr">
        <is>
          <t>废金属×2、皮革×1</t>
        </is>
      </c>
      <c r="D19" s="7" t="n">
        <v>70</v>
      </c>
      <c r="E19" s="9" t="inlineStr">
        <is>
          <t>—</t>
        </is>
      </c>
      <c r="F19" s="9" t="inlineStr">
        <is>
          <t>不用</t>
        </is>
      </c>
      <c r="G19" s="6" t="inlineStr">
        <is>
          <t>道格·和布鲁斯羁绊满2级</t>
        </is>
      </c>
      <c r="H19" s="9" t="inlineStr">
        <is>
          <t>杂项</t>
        </is>
      </c>
      <c r="I19" s="9" t="inlineStr">
        <is>
          <t>狗甲</t>
        </is>
      </c>
      <c r="J19" s="8" t="inlineStr">
        <is>
          <t>dog_iron_helmet</t>
        </is>
      </c>
    </row>
    <row r="20" ht="34" customHeight="1">
      <c r="A20" s="9" t="inlineStr">
        <is>
          <t>铁丝头甲</t>
        </is>
      </c>
      <c r="B20" s="7" t="n">
        <v>1</v>
      </c>
      <c r="C20" s="11" t="inlineStr">
        <is>
          <t>铁丝×2、布×1</t>
        </is>
      </c>
      <c r="D20" s="7" t="n">
        <v>55</v>
      </c>
      <c r="E20" s="9" t="inlineStr">
        <is>
          <t>—</t>
        </is>
      </c>
      <c r="F20" s="9" t="inlineStr">
        <is>
          <t>不用</t>
        </is>
      </c>
      <c r="G20" s="6" t="inlineStr">
        <is>
          <t>道格·和布鲁斯羁绊满2级</t>
        </is>
      </c>
      <c r="H20" s="9" t="inlineStr">
        <is>
          <t>杂项</t>
        </is>
      </c>
      <c r="I20" s="9" t="inlineStr">
        <is>
          <t>狗甲</t>
        </is>
      </c>
      <c r="J20" s="8" t="inlineStr">
        <is>
          <t>dog_wire_helmet</t>
        </is>
      </c>
    </row>
    <row r="21">
      <c r="A21" s="9" t="inlineStr">
        <is>
          <t>木料</t>
        </is>
      </c>
      <c r="B21" s="7" t="n">
        <v>4</v>
      </c>
      <c r="C21" s="11" t="inlineStr">
        <is>
          <t>废木料×4、胶水×1</t>
        </is>
      </c>
      <c r="D21" s="7" t="n">
        <v>40</v>
      </c>
      <c r="E21" s="9" t="inlineStr">
        <is>
          <t>锯片</t>
        </is>
      </c>
      <c r="F21" s="9" t="inlineStr">
        <is>
          <t>不用</t>
        </is>
      </c>
      <c r="G21" s="9" t="inlineStr">
        <is>
          <t>谁都行</t>
        </is>
      </c>
      <c r="H21" s="9" t="inlineStr">
        <is>
          <t>木工</t>
        </is>
      </c>
      <c r="I21" s="9" t="inlineStr">
        <is>
          <t>把拆下来的碎料粘回木料。木头能不能拆一半回来，就卡在这一步</t>
        </is>
      </c>
      <c r="J21" s="8" t="inlineStr">
        <is>
          <t>wood_from_scrap</t>
        </is>
      </c>
    </row>
    <row r="22">
      <c r="A22" s="9" t="inlineStr">
        <is>
          <t>胶水</t>
        </is>
      </c>
      <c r="B22" s="7" t="n">
        <v>2</v>
      </c>
      <c r="C22" s="11" t="inlineStr">
        <is>
          <t>骨头×4、燃料×1</t>
        </is>
      </c>
      <c r="D22" s="7" t="n">
        <v>60</v>
      </c>
      <c r="E22" s="9" t="inlineStr">
        <is>
          <t>烧杯</t>
        </is>
      </c>
      <c r="F22" s="9" t="inlineStr">
        <is>
          <t>土法化学笔记</t>
        </is>
      </c>
      <c r="G22" s="9" t="inlineStr">
        <is>
          <t>谁都行</t>
        </is>
      </c>
      <c r="H22" s="9" t="inlineStr">
        <is>
          <t>化学</t>
        </is>
      </c>
      <c r="I22" s="9" t="inlineStr">
        <is>
          <t>熬骨胶。烧的是燃料——那桶油火把要用、火药也要用</t>
        </is>
      </c>
      <c r="J22" s="8" t="inlineStr">
        <is>
          <t>glue</t>
        </is>
      </c>
    </row>
    <row r="23">
      <c r="A23" s="9" t="inlineStr">
        <is>
          <t>沙袋</t>
        </is>
      </c>
      <c r="B23" s="7" t="n">
        <v>1</v>
      </c>
      <c r="C23" s="11" t="inlineStr">
        <is>
          <t>布×2、石料×4</t>
        </is>
      </c>
      <c r="D23" s="7" t="n">
        <v>30</v>
      </c>
      <c r="E23" s="9" t="inlineStr">
        <is>
          <t>—</t>
        </is>
      </c>
      <c r="F23" s="9" t="inlineStr">
        <is>
          <t>不用</t>
        </is>
      </c>
      <c r="G23" s="9" t="inlineStr">
        <is>
          <t>谁都行</t>
        </is>
      </c>
      <c r="H23" s="9" t="inlineStr">
        <is>
          <t>杂项</t>
        </is>
      </c>
      <c r="I23" s="9" t="inlineStr">
        <is>
          <t>半身掩体：贴着它挨远程有25%概率无效(敌人绕到背后就没用了，而且敌人也能蹲在它后面)。不挡路、不改寻路——所以准你随便摆、拆了还一半料</t>
        </is>
      </c>
      <c r="J23" s="8" t="inlineStr">
        <is>
          <t>sandbag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2" topLeftCell="B14" activePane="bottomRight" state="frozen"/>
      <selection activeCell="A1" sqref="A1"/>
      <selection pane="topRight" activeCell="A1" sqref="A1"/>
      <selection pane="bottomLeft" activeCell="A1" sqref="A1"/>
      <selection pane="bottomRight" activeCell="B14" sqref="B14"/>
    </sheetView>
  </sheetViews>
  <sheetFormatPr baseColWidth="8" defaultColWidth="9" defaultRowHeight="16.8"/>
  <cols>
    <col width="26" customWidth="1" min="1" max="1"/>
    <col width="14" customWidth="1" min="2" max="2"/>
    <col width="12" customWidth="1" min="3" max="3"/>
    <col width="10" customWidth="1" min="4" max="4"/>
    <col width="12" customWidth="1" min="5" max="5"/>
    <col width="22" customWidth="1" min="6" max="6"/>
    <col width="18" customWidth="1" min="7" max="7"/>
  </cols>
  <sheetData>
    <row r="1">
      <c r="A1" s="1" t="inlineStr">
        <is>
          <t>光源表 — 越亮照越远，也越容易在黑暗里被发现。数值暂定。下面另附几个环境/视野常量。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名称</t>
        </is>
      </c>
      <c r="B2" s="4" t="inlineStr">
        <is>
          <t>类型</t>
        </is>
      </c>
      <c r="C2" s="4" t="inlineStr">
        <is>
          <t>多亮(0~1)</t>
        </is>
      </c>
      <c r="D2" s="4" t="inlineStr">
        <is>
          <t>照多远(格)</t>
        </is>
      </c>
      <c r="E2" s="4" t="inlineStr">
        <is>
          <t>有多显眼</t>
        </is>
      </c>
      <c r="F2" s="4" t="inlineStr">
        <is>
          <t>说明</t>
        </is>
      </c>
      <c r="G2" s="5" t="inlineStr">
        <is>
          <t>内部编号(勿改)</t>
        </is>
      </c>
    </row>
    <row r="3" ht="34" customHeight="1">
      <c r="A3" s="9" t="inlineStr">
        <is>
          <t>手电</t>
        </is>
      </c>
      <c r="B3" s="9" t="inlineStr">
        <is>
          <t>手拿</t>
        </is>
      </c>
      <c r="C3" s="7" t="n">
        <v>0.9</v>
      </c>
      <c r="D3" s="7" t="n">
        <v>340</v>
      </c>
      <c r="E3" s="6" t="inlineStr">
        <is>
          <t>很显眼(0.90)</t>
        </is>
      </c>
      <c r="F3" s="6" t="inlineStr">
        <is>
          <t>聚焦的电光，照清也被照清</t>
        </is>
      </c>
      <c r="G3" s="8" t="inlineStr">
        <is>
          <t>flashlight</t>
        </is>
      </c>
    </row>
    <row r="4" ht="34" customHeight="1">
      <c r="A4" s="9" t="inlineStr">
        <is>
          <t>火把</t>
        </is>
      </c>
      <c r="B4" s="9" t="inlineStr">
        <is>
          <t>手拿</t>
        </is>
      </c>
      <c r="C4" s="7" t="n">
        <v>0.7</v>
      </c>
      <c r="D4" s="7" t="n">
        <v>240</v>
      </c>
      <c r="E4" s="6" t="inlineStr">
        <is>
          <t>较显眼(0.70)</t>
        </is>
      </c>
      <c r="F4" s="6" t="inlineStr">
        <is>
          <t>暖光一圈，燃着别想藏</t>
        </is>
      </c>
      <c r="G4" s="8" t="inlineStr">
        <is>
          <t>torch</t>
        </is>
      </c>
    </row>
    <row r="5" ht="17" customHeight="1">
      <c r="A5" s="9" t="inlineStr">
        <is>
          <t>油灯</t>
        </is>
      </c>
      <c r="B5" s="9" t="inlineStr">
        <is>
          <t>固定</t>
        </is>
      </c>
      <c r="C5" s="7" t="n">
        <v>0.75</v>
      </c>
      <c r="D5" s="7" t="n">
        <v>300</v>
      </c>
      <c r="E5" s="6" t="inlineStr">
        <is>
          <t>较显眼(0.75)</t>
        </is>
      </c>
      <c r="F5" s="6" t="inlineStr">
        <is>
          <t>营地起居的暖光</t>
        </is>
      </c>
      <c r="G5" s="8" t="inlineStr">
        <is>
          <t>lamp</t>
        </is>
      </c>
    </row>
    <row r="6" ht="34" customHeight="1">
      <c r="A6" s="9" t="inlineStr">
        <is>
          <t>火堆</t>
        </is>
      </c>
      <c r="B6" s="9" t="inlineStr">
        <is>
          <t>固定</t>
        </is>
      </c>
      <c r="C6" s="7" t="n">
        <v>0.95</v>
      </c>
      <c r="D6" s="7" t="n">
        <v>460</v>
      </c>
      <c r="E6" s="6" t="inlineStr">
        <is>
          <t>最显眼(0.95)</t>
        </is>
      </c>
      <c r="F6" s="6" t="inlineStr">
        <is>
          <t>又暖又亮，等于告诉远处这儿有人</t>
        </is>
      </c>
      <c r="G6" s="8" t="inlineStr">
        <is>
          <t>campfire</t>
        </is>
      </c>
    </row>
    <row r="8">
      <c r="A8" s="1" t="inlineStr">
        <is>
          <t>环境 / 视野 / 显眼度 常量(都暂定)</t>
        </is>
      </c>
      <c r="B8" s="2" t="n"/>
      <c r="C8" s="2" t="n"/>
      <c r="D8" s="2" t="n"/>
      <c r="E8" s="2" t="n"/>
      <c r="F8" s="2" t="n"/>
      <c r="G8" s="3" t="n"/>
    </row>
    <row r="9">
      <c r="A9" s="4" t="inlineStr">
        <is>
          <t>项目</t>
        </is>
      </c>
      <c r="B9" s="4" t="inlineStr">
        <is>
          <t>值</t>
        </is>
      </c>
      <c r="C9" s="4" t="inlineStr">
        <is>
          <t>怎么理解</t>
        </is>
      </c>
      <c r="D9" s="4" t="inlineStr"/>
      <c r="E9" s="4" t="inlineStr"/>
      <c r="F9" s="4" t="inlineStr"/>
      <c r="G9" s="5" t="inlineStr">
        <is>
          <t>内部编号(勿改)</t>
        </is>
      </c>
    </row>
    <row r="10">
      <c r="A10" s="10" t="inlineStr">
        <is>
          <t>白天亮度</t>
        </is>
      </c>
      <c r="B10" s="7" t="n">
        <v>1</v>
      </c>
      <c r="C10" s="6" t="inlineStr">
        <is>
          <t>满亮</t>
        </is>
      </c>
      <c r="D10" s="2" t="n"/>
      <c r="E10" s="2" t="n"/>
      <c r="F10" s="3" t="n"/>
      <c r="G10" s="8" t="inlineStr">
        <is>
          <t>DaylightAmbient</t>
        </is>
      </c>
    </row>
    <row r="11">
      <c r="A11" s="10" t="inlineStr">
        <is>
          <t>黄昏亮度</t>
        </is>
      </c>
      <c r="B11" s="7" t="n">
        <v>0.5</v>
      </c>
      <c r="C11" s="6" t="inlineStr"/>
      <c r="D11" s="2" t="n"/>
      <c r="E11" s="2" t="n"/>
      <c r="F11" s="3" t="n"/>
      <c r="G11" s="8" t="inlineStr">
        <is>
          <t>TwilightAmbient</t>
        </is>
      </c>
    </row>
    <row r="12">
      <c r="A12" s="10" t="inlineStr">
        <is>
          <t>夜里亮度</t>
        </is>
      </c>
      <c r="B12" s="7" t="n">
        <v>0.15</v>
      </c>
      <c r="C12" s="6" t="inlineStr">
        <is>
          <t>很暗</t>
        </is>
      </c>
      <c r="D12" s="2" t="n"/>
      <c r="E12" s="2" t="n"/>
      <c r="F12" s="3" t="n"/>
      <c r="G12" s="8" t="inlineStr">
        <is>
          <t>NightAmbient</t>
        </is>
      </c>
    </row>
    <row r="13">
      <c r="A13" s="10" t="inlineStr">
        <is>
          <t>室内暗处亮度</t>
        </is>
      </c>
      <c r="B13" s="7" t="n">
        <v>0.1</v>
      </c>
      <c r="C13" s="6" t="inlineStr">
        <is>
          <t>最暗</t>
        </is>
      </c>
      <c r="D13" s="2" t="n"/>
      <c r="E13" s="2" t="n"/>
      <c r="F13" s="3" t="n"/>
      <c r="G13" s="8" t="inlineStr">
        <is>
          <t>IndoorsDarkAmbient</t>
        </is>
      </c>
    </row>
    <row r="14">
      <c r="A14" s="10" t="inlineStr">
        <is>
          <t>基础看多远</t>
        </is>
      </c>
      <c r="B14" s="7" t="n">
        <v>300</v>
      </c>
      <c r="C14" s="6" t="inlineStr">
        <is>
          <t>格</t>
        </is>
      </c>
      <c r="D14" s="2" t="n"/>
      <c r="E14" s="2" t="n"/>
      <c r="F14" s="3" t="n"/>
      <c r="G14" s="8" t="inlineStr">
        <is>
          <t>BaseRange</t>
        </is>
      </c>
    </row>
    <row r="15">
      <c r="A15" s="10" t="inlineStr">
        <is>
          <t>黑暗里看多远打几折</t>
        </is>
      </c>
      <c r="B15" s="7" t="n">
        <v>0.35</v>
      </c>
      <c r="C15" s="6" t="inlineStr">
        <is>
          <t>倍</t>
        </is>
      </c>
      <c r="D15" s="2" t="n"/>
      <c r="E15" s="2" t="n"/>
      <c r="F15" s="3" t="n"/>
      <c r="G15" s="8" t="inlineStr">
        <is>
          <t>DarkRangeFactor</t>
        </is>
      </c>
    </row>
    <row r="16">
      <c r="A16" s="10" t="inlineStr">
        <is>
          <t>白天视野张多宽</t>
        </is>
      </c>
      <c r="B16" s="7" t="n">
        <v>120</v>
      </c>
      <c r="C16" s="6" t="inlineStr">
        <is>
          <t>度</t>
        </is>
      </c>
      <c r="D16" s="2" t="n"/>
      <c r="E16" s="2" t="n"/>
      <c r="F16" s="3" t="n"/>
      <c r="G16" s="8" t="inlineStr">
        <is>
          <t>DayHalfAngleDeg</t>
        </is>
      </c>
    </row>
    <row r="17">
      <c r="A17" s="10" t="inlineStr">
        <is>
          <t>黑暗里视野张多宽</t>
        </is>
      </c>
      <c r="B17" s="7" t="n">
        <v>45</v>
      </c>
      <c r="C17" s="6" t="inlineStr">
        <is>
          <t>度</t>
        </is>
      </c>
      <c r="D17" s="2" t="n"/>
      <c r="E17" s="2" t="n"/>
      <c r="F17" s="3" t="n"/>
      <c r="G17" s="8" t="inlineStr">
        <is>
          <t>DarkHalfAngleDeg</t>
        </is>
      </c>
    </row>
    <row r="18">
      <c r="A18" s="10" t="inlineStr">
        <is>
          <t>持灯最黑时被发现距离最多加</t>
        </is>
      </c>
      <c r="B18" s="7" t="n">
        <v>0.7</v>
      </c>
      <c r="C18" s="6" t="inlineStr">
        <is>
          <t>倍(即最多×1.7)</t>
        </is>
      </c>
      <c r="D18" s="2" t="n"/>
      <c r="E18" s="2" t="n"/>
      <c r="F18" s="3" t="n"/>
      <c r="G18" s="8" t="inlineStr">
        <is>
          <t>MaxExposureBonus</t>
        </is>
      </c>
    </row>
  </sheetData>
  <mergeCells count="11">
    <mergeCell ref="C13:F13"/>
    <mergeCell ref="C18:F18"/>
    <mergeCell ref="A1:G1"/>
    <mergeCell ref="C17:F17"/>
    <mergeCell ref="A8:G8"/>
    <mergeCell ref="C12:F12"/>
    <mergeCell ref="C16:F16"/>
    <mergeCell ref="C15:F15"/>
    <mergeCell ref="C11:F11"/>
    <mergeCell ref="C10:F10"/>
    <mergeCell ref="C14:F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A1" sqref="A1:F1"/>
    </sheetView>
  </sheetViews>
  <sheetFormatPr baseColWidth="8" defaultColWidth="9" defaultRowHeight="16.8"/>
  <cols>
    <col width="24" customWidth="1" min="1" max="1"/>
    <col width="10" customWidth="1" min="2" max="4"/>
    <col width="26" customWidth="1" min="5" max="5"/>
    <col width="30" customWidth="1" min="6" max="6"/>
  </cols>
  <sheetData>
    <row r="1">
      <c r="A1" s="1" t="inlineStr">
        <is>
          <t>草药投放表 — 三种草药在各探索点各掉几份。数量暂定；空格＝这点不掉这种草。</t>
        </is>
      </c>
      <c r="B1" s="2" t="n"/>
      <c r="C1" s="2" t="n"/>
      <c r="D1" s="2" t="n"/>
      <c r="E1" s="2" t="n"/>
      <c r="F1" s="3" t="n"/>
    </row>
    <row r="2">
      <c r="A2" s="4" t="inlineStr">
        <is>
          <t>点位</t>
        </is>
      </c>
      <c r="B2" s="4" t="inlineStr">
        <is>
          <t>蒲公英</t>
        </is>
      </c>
      <c r="C2" s="4" t="inlineStr">
        <is>
          <t>玫瑰果</t>
        </is>
      </c>
      <c r="D2" s="4" t="inlineStr">
        <is>
          <t>老君须</t>
        </is>
      </c>
      <c r="E2" s="4" t="inlineStr">
        <is>
          <t>说明</t>
        </is>
      </c>
      <c r="F2" s="5" t="inlineStr">
        <is>
          <t>内部编号(勿改)</t>
        </is>
      </c>
    </row>
    <row r="3" ht="34" customHeight="1">
      <c r="A3" s="6" t="inlineStr">
        <is>
          <t>守林人小屋·后院棚屋</t>
        </is>
      </c>
      <c r="B3" s="7" t="n">
        <v>1</v>
      </c>
      <c r="C3" s="7" t="n">
        <v>1</v>
      </c>
      <c r="D3" s="7" t="inlineStr"/>
      <c r="E3" s="6" t="inlineStr">
        <is>
          <t>后院墙根蒲公英/篱边玫瑰果</t>
        </is>
      </c>
      <c r="F3" s="8" t="inlineStr">
        <is>
          <t>cache_rangers_cabin_shed</t>
        </is>
      </c>
    </row>
    <row r="4" ht="17" customHeight="1">
      <c r="A4" s="9" t="inlineStr">
        <is>
          <t>河边·钓点</t>
        </is>
      </c>
      <c r="B4" s="7" t="n">
        <v>1</v>
      </c>
      <c r="C4" s="7" t="inlineStr"/>
      <c r="D4" s="7" t="n">
        <v>1</v>
      </c>
      <c r="E4" s="6" t="inlineStr">
        <is>
          <t>河边野草：蒲公英/老君须</t>
        </is>
      </c>
      <c r="F4" s="8" t="inlineStr">
        <is>
          <t>cache_riverside_fishing</t>
        </is>
      </c>
    </row>
    <row r="5" ht="17" customHeight="1">
      <c r="A5" s="9" t="inlineStr">
        <is>
          <t>河边·地窖</t>
        </is>
      </c>
      <c r="B5" s="7" t="inlineStr"/>
      <c r="C5" s="7" t="n">
        <v>1</v>
      </c>
      <c r="D5" s="7" t="inlineStr"/>
      <c r="E5" s="6" t="inlineStr">
        <is>
          <t>窖里阴干的玫瑰果</t>
        </is>
      </c>
      <c r="F5" s="8" t="inlineStr">
        <is>
          <t>cache_riverside_cellar</t>
        </is>
      </c>
    </row>
    <row r="6" ht="17" customHeight="1">
      <c r="A6" s="9" t="inlineStr">
        <is>
          <t>村庄·后山窑</t>
        </is>
      </c>
      <c r="B6" s="7" t="n">
        <v>1</v>
      </c>
      <c r="C6" s="7" t="inlineStr"/>
      <c r="D6" s="7" t="n">
        <v>1</v>
      </c>
      <c r="E6" s="6" t="inlineStr">
        <is>
          <t>后山坡老君须/蒲公英</t>
        </is>
      </c>
      <c r="F6" s="8" t="inlineStr">
        <is>
          <t>cache_village_backhill_kiln</t>
        </is>
      </c>
    </row>
    <row r="7" ht="17" customHeight="1">
      <c r="A7" s="9" t="inlineStr">
        <is>
          <t>村庄·河滩棚</t>
        </is>
      </c>
      <c r="B7" s="7" t="n">
        <v>1</v>
      </c>
      <c r="C7" s="7" t="inlineStr"/>
      <c r="D7" s="7" t="inlineStr"/>
      <c r="E7" s="6" t="inlineStr">
        <is>
          <t>河滩草丛蒲公英</t>
        </is>
      </c>
      <c r="F7" s="8" t="inlineStr">
        <is>
          <t>cache_village_riverbank_shack</t>
        </is>
      </c>
    </row>
    <row r="8" ht="34" customHeight="1">
      <c r="A8" s="6" t="inlineStr">
        <is>
          <t>东部新村·老屋药箱(最深)</t>
        </is>
      </c>
      <c r="B8" s="7" t="inlineStr"/>
      <c r="C8" s="7" t="n">
        <v>1</v>
      </c>
      <c r="D8" s="7" t="inlineStr"/>
      <c r="E8" s="6" t="inlineStr">
        <is>
          <t>老屋药柜干玫瑰果(偶尔)</t>
        </is>
      </c>
      <c r="F8" s="8" t="inlineStr">
        <is>
          <t>cache_newvillage_old2_medcab</t>
        </is>
      </c>
    </row>
    <row r="9" ht="17" customHeight="1">
      <c r="A9" s="6" t="inlineStr">
        <is>
          <t>加油站·加油岛油枪</t>
        </is>
      </c>
      <c r="B9" s="7" t="n">
        <v>1</v>
      </c>
      <c r="C9" s="7" t="inlineStr"/>
      <c r="D9" s="7" t="inlineStr"/>
      <c r="E9" s="6" t="inlineStr">
        <is>
          <t>泵岛裂缝蒲公英</t>
        </is>
      </c>
      <c r="F9" s="8" t="inlineStr">
        <is>
          <t>cache_gas_pump_island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2026-07-12T07:08:00Z</dcterms:created>
  <dcterms:modified xsi:type="dcterms:W3CDTF">2026-07-13T10:49:28Z</dcterms:modified>
  <cp:lastModifiedBy>Valar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AF89604E81F7702FA760546A3C70E1E5_42</vt:lpwstr>
  </property>
  <property name="KSOProductBuildVer" fmtid="{D5CDD505-2E9C-101B-9397-08002B2CF9AE}" pid="3">
    <vt:lpwstr>2052-12.1.26016.26016</vt:lpwstr>
  </property>
  <property name="CalculationRule" fmtid="{D5CDD505-2E9C-101B-9397-08002B2CF9AE}" pid="4">
    <vt:i4>0</vt:i4>
  </property>
</Properties>
</file>