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640" activeTab="1"/>
  </bookViews>
  <sheets>
    <sheet name="说明" sheetId="1" r:id="rId1"/>
    <sheet name="护甲表" sheetId="2" r:id="rId2"/>
    <sheet name="手术耗材表" sheetId="3" r:id="rId3"/>
    <sheet name="感染用药表" sheetId="4" r:id="rId4"/>
    <sheet name="伤病锚点表" sheetId="5" r:id="rId5"/>
    <sheet name="材料表" sheetId="6" r:id="rId6"/>
    <sheet name="配方表" sheetId="7" r:id="rId7"/>
    <sheet name="光源表" sheetId="8" r:id="rId8"/>
    <sheet name="草药投放表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<sst xmlns="http://schemas.openxmlformats.org/spreadsheetml/2006/main" count="749" uniqueCount="460">
  <si>
    <t>各类数值表 — 使用说明</t>
  </si>
  <si>
    <t>这些表干嘛的</t>
  </si>
  <si>
    <t>把游戏里需要你定数值的东西列成表，你直接在格子里改数字就行。改完在群里喊一声，我们负责把它填回游戏。</t>
  </si>
  <si>
    <t>颜色什么意思</t>
  </si>
  <si>
    <t>浅金格＝你以前定过的值(一般别动)；浅蓝格＝我们先随手填的暂定值，等你调；浅绿格＝会自动算出来的(别改)；浅灰格＝参考值或敌人数据(只看不改)。</t>
  </si>
  <si>
    <t>表格怎么看</t>
  </si>
  <si>
    <t>每张表第一行是这张表的说明，第二行是列名。名称列和标题已锁住，左右拉动时不会跑掉。有的表最右边有一列灰灰的『内部编号(勿改)』，那是给我们填回游戏用的，你不用管、也别改。</t>
  </si>
  <si>
    <t/>
  </si>
  <si>
    <t>护甲表</t>
  </si>
  <si>
    <t>各种护甲/衣服 挡刀挡钝、有多重、护住身上哪些部位。现在数值全是暂定值。</t>
  </si>
  <si>
    <t>手术耗材表</t>
  </si>
  <si>
    <t>绷带/夹板/急救包这些，做手术能加多少点(点越多越容易成功)。</t>
  </si>
  <si>
    <t>感染用药表</t>
  </si>
  <si>
    <t>治感染的三种药：治得多快、用药时把恶化压多慢。</t>
  </si>
  <si>
    <t>伤病锚点表</t>
  </si>
  <si>
    <t>感染/流血/骨折/手术的关键数字，比如感染每天涨多少、几天到头、手术底子多少点。</t>
  </si>
  <si>
    <t>材料表</t>
  </si>
  <si>
    <t>各种材料，商人肯出多少钱收。</t>
  </si>
  <si>
    <t>配方表</t>
  </si>
  <si>
    <t>做一样东西 要什么料、花多久、需要什么条件。</t>
  </si>
  <si>
    <t>光源表</t>
  </si>
  <si>
    <t>手电/火把/油灯/火堆：多亮、照多远、有多显眼(越显眼越容易被发现)。</t>
  </si>
  <si>
    <t>草药投放表</t>
  </si>
  <si>
    <t>蒲公英/玫瑰果/老君须 三种草药，在各个探索点分别掉几份。</t>
  </si>
  <si>
    <t>武器重量在哪</t>
  </si>
  <si>
    <t>武器的重量在另一个文件『武器计算表』里(武器那张表最右边一列)。现在也是暂定值，等你定。</t>
  </si>
  <si>
    <t>会不会再变</t>
  </si>
  <si>
    <t>有几个药和感染的数字后面可能还会微调，以最新的为准；真动了会跟你说。</t>
  </si>
  <si>
    <t>改完怎么办</t>
  </si>
  <si>
    <t>把你改好的表发回来、或直接说改成多少，我们同步进游戏。有拿不准的格子留个批注也行。</t>
  </si>
  <si>
    <t>护甲『防护部位』怎么填</t>
  </si>
  <si>
    <t>用顿号(、)隔开部位名，比如『胸、腹、左上臂、右上臂』。护到全身就写『全身』；只护一部分的甲(比如胸甲只护胸)就只写那几个。也可以简写『双臂』『双腿』。</t>
  </si>
  <si>
    <t>身体部位全名</t>
  </si>
  <si>
    <t>躯干→拆成 胸、腹；头(细分：左眼、右眼、鼻、下巴、左耳、右耳)；上肢：左上臂、右上臂、左手、右手(每只手含五指)；下肢：左大腿、右大腿、左小腿、右小腿、左脚、右脚(每只脚含脚趾)。按这些名字写，游戏才认得。</t>
  </si>
  <si>
    <t>护甲表 — 挡刀挡钝、重量、护哪些部位都可改(暂定)。护甲不分阵营，谁都能穿。灰底那行是丧尸自带的皮，只看别改。『防护部位』写法见说明页。</t>
  </si>
  <si>
    <t>名称</t>
  </si>
  <si>
    <t>类别/用途</t>
  </si>
  <si>
    <t>穿在哪层</t>
  </si>
  <si>
    <t>防护部位</t>
  </si>
  <si>
    <t>挡锐器(刀/箭)</t>
  </si>
  <si>
    <t>挡钝器(锤/砸)</t>
  </si>
  <si>
    <t>重量(kg)</t>
  </si>
  <si>
    <t>说明</t>
  </si>
  <si>
    <t>长袖布衣</t>
  </si>
  <si>
    <t>通用(人形)</t>
  </si>
  <si>
    <t>贴身</t>
  </si>
  <si>
    <t>胸、腹、左臂、右臂</t>
  </si>
  <si>
    <t>袖子确实是长的。</t>
  </si>
  <si>
    <t>花衬衫</t>
  </si>
  <si>
    <t>夏威夷风格，足够喜庆。</t>
  </si>
  <si>
    <t>长裤</t>
  </si>
  <si>
    <t>裤装</t>
  </si>
  <si>
    <t>左大腿、右大腿、左小腿、右小腿</t>
  </si>
  <si>
    <t>挡风挡蚊子，挡不住长牙的东西。</t>
  </si>
  <si>
    <t>运动鞋</t>
  </si>
  <si>
    <t>脚</t>
  </si>
  <si>
    <t>左脚、右脚(含脚趾)</t>
  </si>
  <si>
    <t>跑快一点点——但愿比丧尸快点。</t>
  </si>
  <si>
    <t>短裤</t>
  </si>
  <si>
    <t>左大腿、右大腿</t>
  </si>
  <si>
    <t>夏日风格。</t>
  </si>
  <si>
    <t>皮革胸甲</t>
  </si>
  <si>
    <t>护甲层</t>
  </si>
  <si>
    <t>胸</t>
  </si>
  <si>
    <t>保护你的心。</t>
  </si>
  <si>
    <t>粗布背心</t>
  </si>
  <si>
    <t>外套</t>
  </si>
  <si>
    <t>胸、腹</t>
  </si>
  <si>
    <t>“缝缝补补又三年。”——奶奶</t>
  </si>
  <si>
    <t>粗布外套</t>
  </si>
  <si>
    <t>天气转凉了，记得添外套。</t>
  </si>
  <si>
    <t>布夹克</t>
  </si>
  <si>
    <t>上班穿它，开会穿它，被咬那天也穿着它。</t>
  </si>
  <si>
    <t>牛仔外套</t>
  </si>
  <si>
    <t>耐磨、耐脏、耐撕咬——前两样是真的。</t>
  </si>
  <si>
    <t>皮夹克</t>
  </si>
  <si>
    <t>骑上摩托，倍有范儿。</t>
  </si>
  <si>
    <t>皮甲</t>
  </si>
  <si>
    <t>结实的鞣皮甲。</t>
  </si>
  <si>
    <t>板甲</t>
  </si>
  <si>
    <t>护甲层、裤装</t>
  </si>
  <si>
    <t>胸、腹、左臂、右臂、左大腿、右大腿、左小腿、右小腿</t>
  </si>
  <si>
    <t>重吗？他能保护你脆弱的肉体。</t>
  </si>
  <si>
    <t>军用头盔</t>
  </si>
  <si>
    <t>头</t>
  </si>
  <si>
    <t>钢盔挡得住从天上掉下来的一切。麻烦在于，咬人的东西是从正面扑过来的。</t>
  </si>
  <si>
    <t>防暴头盔</t>
  </si>
  <si>
    <t>头、眼镜、面部</t>
  </si>
  <si>
    <t>头、左眼、右眼、鼻、下巴</t>
  </si>
  <si>
    <t>面罩挡得下砖头、棍棒和唾沫星子——上一任主人遇上的，不在这三样里。</t>
  </si>
  <si>
    <t>劳保手套</t>
  </si>
  <si>
    <t>手</t>
  </si>
  <si>
    <t>手(含五指)</t>
  </si>
  <si>
    <t>“劳动人民最光荣。”——奶奶</t>
  </si>
  <si>
    <t>腐皮(丧尸)</t>
  </si>
  <si>
    <t>生物·天生(不可穿戴)</t>
  </si>
  <si>
    <t>全身</t>
  </si>
  <si>
    <t>丧尸自带的一层烂皮。</t>
  </si>
  <si>
    <t>布制狗衣</t>
  </si>
  <si>
    <t>狗专用(体型)</t>
  </si>
  <si>
    <t>身体</t>
  </si>
  <si>
    <t>给可爱的狗狗穿上可爱的衣服。</t>
  </si>
  <si>
    <t>皮制狗衣</t>
  </si>
  <si>
    <t>狗皮外的另一层皮。</t>
  </si>
  <si>
    <t>铁皮头甲</t>
  </si>
  <si>
    <t>狗狗也戴头盔。</t>
  </si>
  <si>
    <t>铁丝头甲</t>
  </si>
  <si>
    <t>曾经他是不让狗咬你的，现在他是用来保护狗咬你的。</t>
  </si>
  <si>
    <t>口袋狗衣</t>
  </si>
  <si>
    <t>好狗，好狗。</t>
  </si>
  <si>
    <t>为狗提供6kg负重</t>
  </si>
  <si>
    <t>手术耗材表 — 点数越多手术越容易成功。金底两样(绷带15/草药绷带25)是你定过的，别的暂定。</t>
  </si>
  <si>
    <t>手术加多少点</t>
  </si>
  <si>
    <t>用于</t>
  </si>
  <si>
    <t>能和别的一起用吗</t>
  </si>
  <si>
    <t>内部编号(勿改)</t>
  </si>
  <si>
    <t>绷带</t>
  </si>
  <si>
    <t>止血</t>
  </si>
  <si>
    <t>能</t>
  </si>
  <si>
    <t>一块破布有时也能救命</t>
  </si>
  <si>
    <t>bandage</t>
  </si>
  <si>
    <t>草药绷带</t>
  </si>
  <si>
    <t>传统医学，比普通绷带强</t>
  </si>
  <si>
    <t>herbal_bandage</t>
  </si>
  <si>
    <t>针线</t>
  </si>
  <si>
    <t>能缝补你的伤口，却治愈不了你的心</t>
  </si>
  <si>
    <t>needle_thread</t>
  </si>
  <si>
    <t>夹板</t>
  </si>
  <si>
    <t>接骨</t>
  </si>
  <si>
    <t>这会让它看上去直一些</t>
  </si>
  <si>
    <t>splint</t>
  </si>
  <si>
    <t>急救包</t>
  </si>
  <si>
    <t>止血+接骨</t>
  </si>
  <si>
    <t>不能(得单独用)</t>
  </si>
  <si>
    <t>“一包全搞定”——南丁格尔</t>
  </si>
  <si>
    <t>first_aid_kit</t>
  </si>
  <si>
    <t>感染用药表 — 感染三种药：治得多快 + 用药时把恶化压多慢。金底六个数都是你定过的。</t>
  </si>
  <si>
    <t>治哪种</t>
  </si>
  <si>
    <t>治疗速度(抗生素=100%)</t>
  </si>
  <si>
    <t>用药时感染恶化放慢到</t>
  </si>
  <si>
    <t>药效强度</t>
  </si>
  <si>
    <t>抗生素</t>
  </si>
  <si>
    <t>感染</t>
  </si>
  <si>
    <t>50%</t>
  </si>
  <si>
    <t>现代医学的结晶</t>
  </si>
  <si>
    <t>antibiotics</t>
  </si>
  <si>
    <t>草药膏</t>
  </si>
  <si>
    <t>75%</t>
  </si>
  <si>
    <t>死马当活马医</t>
  </si>
  <si>
    <t>herbal_salve</t>
  </si>
  <si>
    <t>蒲公英茶</t>
  </si>
  <si>
    <t>85%</t>
  </si>
  <si>
    <t>奶奶的最爱</t>
  </si>
  <si>
    <t>dandelion_tea</t>
  </si>
  <si>
    <t>成药</t>
  </si>
  <si>
    <t>疾病</t>
  </si>
  <si>
    <t>—</t>
  </si>
  <si>
    <t>治发热痢疾这类杂病</t>
  </si>
  <si>
    <t>medicine</t>
  </si>
  <si>
    <t>伤病锚点表 — 感染/流血/骨折/手术 背后的关键数字。金底是你定过的，其余暂定、靠测试拉表校准。</t>
  </si>
  <si>
    <t>项目</t>
  </si>
  <si>
    <t>值</t>
  </si>
  <si>
    <t>单位/怎么理解</t>
  </si>
  <si>
    <t>详细说明</t>
  </si>
  <si>
    <t>【感染】</t>
  </si>
  <si>
    <t>伤口感染的基础概率</t>
  </si>
  <si>
    <t>概率</t>
  </si>
  <si>
    <t>再乘上流血轻重和伤口大小</t>
  </si>
  <si>
    <t>InfectionBaseChance</t>
  </si>
  <si>
    <t>感染每天涨多少</t>
  </si>
  <si>
    <t>每天</t>
  </si>
  <si>
    <t>≈第6天涨到头(和流血第7天错开)</t>
  </si>
  <si>
    <t>InfectionWorsenPerDay</t>
  </si>
  <si>
    <t>治疗每天推进多少(满速)</t>
  </si>
  <si>
    <t>抗生素满速；实际×这个药的治疗速度</t>
  </si>
  <si>
    <t>CureProgressBaseRate</t>
  </si>
  <si>
    <t>伤口几天内还会感染</t>
  </si>
  <si>
    <t>天</t>
  </si>
  <si>
    <t>过了这几天就不再新感染</t>
  </si>
  <si>
    <t>InfectionWindowDays</t>
  </si>
  <si>
    <t>刚感染时从多少起</t>
  </si>
  <si>
    <t>起点</t>
  </si>
  <si>
    <t>新感染从0开始爬</t>
  </si>
  <si>
    <t>InfectionInitialSeverity</t>
  </si>
  <si>
    <t>【流血 / 骨折】</t>
  </si>
  <si>
    <t>不做手术每天流血加重</t>
  </si>
  <si>
    <t>大伤口约第8天流血过多死</t>
  </si>
  <si>
    <t>BleedWorsenPerDay</t>
  </si>
  <si>
    <t>小伤口流血最多到</t>
  </si>
  <si>
    <t>上限</t>
  </si>
  <si>
    <t>小刀口/咬伤不会流血死，只会烂</t>
  </si>
  <si>
    <t>MinorBleedSeverityCap</t>
  </si>
  <si>
    <t>做完手术每天愈合(流血)</t>
  </si>
  <si>
    <t>再乘手术成功的效率</t>
  </si>
  <si>
    <t>BleedHealPerDay</t>
  </si>
  <si>
    <t>不接骨每天恶化</t>
  </si>
  <si>
    <t>拖久了那条肢体永久残</t>
  </si>
  <si>
    <t>FractureMalunionPerDay</t>
  </si>
  <si>
    <t>接骨后每天愈合</t>
  </si>
  <si>
    <t>齐装卧床约7天好</t>
  </si>
  <si>
    <t>FractureHealPerDay</t>
  </si>
  <si>
    <t>【手术】</t>
  </si>
  <si>
    <t>手术底子多少点</t>
  </si>
  <si>
    <t>点</t>
  </si>
  <si>
    <t>徒手、没床时的起步点</t>
  </si>
  <si>
    <t>SurgeryBasePoints</t>
  </si>
  <si>
    <t>在床上做加多少点</t>
  </si>
  <si>
    <t>有床多10点</t>
  </si>
  <si>
    <t>BedBonusPoints</t>
  </si>
  <si>
    <t>掷到多少及以下算失败</t>
  </si>
  <si>
    <t>阈值</t>
  </si>
  <si>
    <t>失败要重做，料照样费</t>
  </si>
  <si>
    <t>SurgeryFailThreshold</t>
  </si>
  <si>
    <t>点数不到多少不给做</t>
  </si>
  <si>
    <t>门槛</t>
  </si>
  <si>
    <t>凑不够就做不了这台手术</t>
  </si>
  <si>
    <t>SurgeryMinPoints</t>
  </si>
  <si>
    <t>给自己做打几折</t>
  </si>
  <si>
    <t>倍率</t>
  </si>
  <si>
    <t>自己给自己动刀更难</t>
  </si>
  <si>
    <t>SelfSurgeryFactor</t>
  </si>
  <si>
    <t>隔几天才能重做</t>
  </si>
  <si>
    <t>刚做完不能马上再做</t>
  </si>
  <si>
    <t>RedoSurgeryCooldownDays</t>
  </si>
  <si>
    <t>【喝了/睡了有加成】</t>
  </si>
  <si>
    <t>喝玫瑰果茶恢复快多少</t>
  </si>
  <si>
    <t>百分点·管一天</t>
  </si>
  <si>
    <t>喝完一天内恢复快些(续杯只刷新不叠加)</t>
  </si>
  <si>
    <t>RosehipTeaHealBonusPct</t>
  </si>
  <si>
    <t>在床上睡觉恢复快多少</t>
  </si>
  <si>
    <t>百分点</t>
  </si>
  <si>
    <t>术后睡床比打地铺恢复快</t>
  </si>
  <si>
    <t>BedSleepHealBonusPct</t>
  </si>
  <si>
    <t>材料表 — 商人肯出多少钱收。价钱暂定；空的表示商人不收。收购价那列会自动算，别改。</t>
  </si>
  <si>
    <t>类别</t>
  </si>
  <si>
    <t>商人收多少钱(整银)</t>
  </si>
  <si>
    <t>实际收购价(×60%)</t>
  </si>
  <si>
    <t>木料</t>
  </si>
  <si>
    <t>木</t>
  </si>
  <si>
    <t>盖房/生火/做家具</t>
  </si>
  <si>
    <t>wood</t>
  </si>
  <si>
    <t>布</t>
  </si>
  <si>
    <t>整幅的、撕下的碎的，一律算布</t>
  </si>
  <si>
    <t>cloth</t>
  </si>
  <si>
    <t>废金属</t>
  </si>
  <si>
    <t>金属</t>
  </si>
  <si>
    <t>scrap_metal</t>
  </si>
  <si>
    <t>金属锭</t>
  </si>
  <si>
    <t>metal_ingot</t>
  </si>
  <si>
    <t>钉子</t>
  </si>
  <si>
    <t>nails</t>
  </si>
  <si>
    <t>铁丝</t>
  </si>
  <si>
    <t>wire</t>
  </si>
  <si>
    <t>生皮</t>
  </si>
  <si>
    <t>皮</t>
  </si>
  <si>
    <t>rawhide</t>
  </si>
  <si>
    <t>皮革</t>
  </si>
  <si>
    <t>鞣好的皮</t>
  </si>
  <si>
    <t>leather</t>
  </si>
  <si>
    <t>骨头</t>
  </si>
  <si>
    <t>杂项</t>
  </si>
  <si>
    <t>bone</t>
  </si>
  <si>
    <t>火药</t>
  </si>
  <si>
    <t>化学</t>
  </si>
  <si>
    <t>gunpowder</t>
  </si>
  <si>
    <t>鞣制药水</t>
  </si>
  <si>
    <t>tanning_solution</t>
  </si>
  <si>
    <t>燃料</t>
  </si>
  <si>
    <t>汽油柴油</t>
  </si>
  <si>
    <t>fuel</t>
  </si>
  <si>
    <t>石料</t>
  </si>
  <si>
    <t>stone</t>
  </si>
  <si>
    <t>绳子</t>
  </si>
  <si>
    <t>rope</t>
  </si>
  <si>
    <t>机械零件</t>
  </si>
  <si>
    <t>精密装置都要它</t>
  </si>
  <si>
    <t>components</t>
  </si>
  <si>
    <t>医疗</t>
  </si>
  <si>
    <t>商人不收</t>
  </si>
  <si>
    <t>蒲公英</t>
  </si>
  <si>
    <t>dandelion</t>
  </si>
  <si>
    <t>玫瑰果</t>
  </si>
  <si>
    <t>rosehip</t>
  </si>
  <si>
    <t>老君须</t>
  </si>
  <si>
    <t>laojunxu</t>
  </si>
  <si>
    <t>玫瑰果茶</t>
  </si>
  <si>
    <t>rosehip_tea</t>
  </si>
  <si>
    <t>白银</t>
  </si>
  <si>
    <t>货币</t>
  </si>
  <si>
    <t>唯一硬通货，可堆叠</t>
  </si>
  <si>
    <t>silver</t>
  </si>
  <si>
    <t>子弹零件</t>
  </si>
  <si>
    <t>弹壳底火弹头坯。四种子弹的唯一共同原料——捡完了，枪就只是根铁棍</t>
  </si>
  <si>
    <t>bullet_parts</t>
  </si>
  <si>
    <t>短子弹</t>
  </si>
  <si>
    <t>弹药</t>
  </si>
  <si>
    <t>手枪/冲锋枪。一个零件造 8 发，最不值钱的一种子弹</t>
  </si>
  <si>
    <t>ammo_short</t>
  </si>
  <si>
    <t>中子弹</t>
  </si>
  <si>
    <t>自制猎枪/步枪/栓动猎枪。一个零件造 5 发</t>
  </si>
  <si>
    <t>ammo_medium</t>
  </si>
  <si>
    <t>鹿弹</t>
  </si>
  <si>
    <t>自制霰弹枪。一个零件造 4 发，一发塞八颗铅丸</t>
  </si>
  <si>
    <t>ammo_buck</t>
  </si>
  <si>
    <t>长子弹</t>
  </si>
  <si>
    <t>狙击枪。一个零件只造 2 发——全表最贵的一发</t>
  </si>
  <si>
    <t>ammo_long</t>
  </si>
  <si>
    <t>废木料</t>
  </si>
  <si>
    <t>拆东西掉出来的碎料。盖不了任何东西——得先用胶水在锯片工作台上粘回木料</t>
  </si>
  <si>
    <t>scrap_wood</t>
  </si>
  <si>
    <t>胶水</t>
  </si>
  <si>
    <t>熬骨胶。粘废木料的唯一办法，所以拆下来的木头要不要回收，全看有没有它</t>
  </si>
  <si>
    <t>glue</t>
  </si>
  <si>
    <t>配方表 — 做一样东西要的料/时间/条件。材料和工时都暂定，随便调。</t>
  </si>
  <si>
    <t>产物</t>
  </si>
  <si>
    <t>做几个</t>
  </si>
  <si>
    <t>要什么材料</t>
  </si>
  <si>
    <t>花多久(分钟)</t>
  </si>
  <si>
    <t>需要的工作台</t>
  </si>
  <si>
    <t>需要读的书</t>
  </si>
  <si>
    <t>谁能做</t>
  </si>
  <si>
    <t>分类</t>
  </si>
  <si>
    <t>骨刀</t>
  </si>
  <si>
    <t>骨头×2、布×1</t>
  </si>
  <si>
    <t>野外生存指南</t>
  </si>
  <si>
    <t>谁都行</t>
  </si>
  <si>
    <t>bone_knife</t>
  </si>
  <si>
    <t>布×4</t>
  </si>
  <si>
    <t>裁缝手记</t>
  </si>
  <si>
    <t>缝纫</t>
  </si>
  <si>
    <t>做出来是护甲</t>
  </si>
  <si>
    <t>cloth_vest</t>
  </si>
  <si>
    <t>布×6</t>
  </si>
  <si>
    <t>做出来是护甲(有袖子)</t>
  </si>
  <si>
    <t>cloth_jacket</t>
  </si>
  <si>
    <t>板凳</t>
  </si>
  <si>
    <t>木料×2</t>
  </si>
  <si>
    <t>不用</t>
  </si>
  <si>
    <t>木工</t>
  </si>
  <si>
    <t>开局就能做</t>
  </si>
  <si>
    <t>bench</t>
  </si>
  <si>
    <t>木椅</t>
  </si>
  <si>
    <t>木料×4、钉子×2</t>
  </si>
  <si>
    <t>锯片</t>
  </si>
  <si>
    <t>木匠入门</t>
  </si>
  <si>
    <t>chair</t>
  </si>
  <si>
    <t>石料×1、燃料×1</t>
  </si>
  <si>
    <t>烧杯</t>
  </si>
  <si>
    <t>土法化学笔记</t>
  </si>
  <si>
    <t>燃料×1、石料×1</t>
  </si>
  <si>
    <t>自制弓</t>
  </si>
  <si>
    <t>木料×2、绳子×1</t>
  </si>
  <si>
    <t>卡尺</t>
  </si>
  <si>
    <t>精工</t>
  </si>
  <si>
    <t>handmade_bow</t>
  </si>
  <si>
    <t>火把</t>
  </si>
  <si>
    <t>木料×1、布×1、燃料×1</t>
  </si>
  <si>
    <t>手持光源</t>
  </si>
  <si>
    <t>torch</t>
  </si>
  <si>
    <t>蒲公英×1、玫瑰果×1、老君须×1</t>
  </si>
  <si>
    <t>治感染(次选)</t>
  </si>
  <si>
    <t>蒲公英×2</t>
  </si>
  <si>
    <t>治感染(最弱)</t>
  </si>
  <si>
    <t>老君须×1、绷带×1</t>
  </si>
  <si>
    <t>止血更强</t>
  </si>
  <si>
    <t>玫瑰果×2</t>
  </si>
  <si>
    <t>喝了恢复快一天</t>
  </si>
  <si>
    <t>布×3</t>
  </si>
  <si>
    <t>道格·和布鲁斯羁绊满2级</t>
  </si>
  <si>
    <t>狗甲</t>
  </si>
  <si>
    <t>dog_cloth_vest</t>
  </si>
  <si>
    <t>皮革×2、绳子×1</t>
  </si>
  <si>
    <t>dog_leather_vest</t>
  </si>
  <si>
    <t>布×3、绳子×1</t>
  </si>
  <si>
    <t>帮狗背东西</t>
  </si>
  <si>
    <t>dog_pocket_vest</t>
  </si>
  <si>
    <t>废金属×2、皮革×1</t>
  </si>
  <si>
    <t>dog_iron_helmet</t>
  </si>
  <si>
    <t>铁丝×2、布×1</t>
  </si>
  <si>
    <t>dog_wire_helmet</t>
  </si>
  <si>
    <t>废木料×4、胶水×1</t>
  </si>
  <si>
    <t>把拆下来的碎料粘回木料。木头能不能拆一半回来，就卡在这一步</t>
  </si>
  <si>
    <t>wood_from_scrap</t>
  </si>
  <si>
    <t>骨头×4、燃料×1</t>
  </si>
  <si>
    <t>熬骨胶。烧的是燃料——那桶油火把要用、火药也要用</t>
  </si>
  <si>
    <t>沙袋</t>
  </si>
  <si>
    <t>布×2、石料×4</t>
  </si>
  <si>
    <t>半身掩体：贴着它挨远程有25%概率无效(敌人绕到背后就没用了，而且敌人也能蹲在它后面)。不挡路、不改寻路——所以准你随便摆、拆了还一半料</t>
  </si>
  <si>
    <t>sandbag</t>
  </si>
  <si>
    <t>光源表 — 越亮照越远，也越容易在黑暗里被发现。数值暂定。下面另附几个环境/视野常量。</t>
  </si>
  <si>
    <t>类型</t>
  </si>
  <si>
    <t>多亮(0~1)</t>
  </si>
  <si>
    <t>照多远(格)</t>
  </si>
  <si>
    <t>有多显眼</t>
  </si>
  <si>
    <t>手电</t>
  </si>
  <si>
    <t>手拿</t>
  </si>
  <si>
    <t>很显眼(0.90)</t>
  </si>
  <si>
    <t>聚焦的电光，照清也被照清</t>
  </si>
  <si>
    <t>flashlight</t>
  </si>
  <si>
    <t>较显眼(0.70)</t>
  </si>
  <si>
    <t>暖光一圈，燃着别想藏</t>
  </si>
  <si>
    <t>油灯</t>
  </si>
  <si>
    <t>固定</t>
  </si>
  <si>
    <t>较显眼(0.75)</t>
  </si>
  <si>
    <t>营地起居的暖光</t>
  </si>
  <si>
    <t>lamp</t>
  </si>
  <si>
    <t>火堆</t>
  </si>
  <si>
    <t>最显眼(0.95)</t>
  </si>
  <si>
    <t>又暖又亮，等于告诉远处这儿有人</t>
  </si>
  <si>
    <t>campfire</t>
  </si>
  <si>
    <t>环境 / 视野 / 显眼度 常量(都暂定)</t>
  </si>
  <si>
    <t>怎么理解</t>
  </si>
  <si>
    <t>白天亮度</t>
  </si>
  <si>
    <t>满亮</t>
  </si>
  <si>
    <t>DaylightAmbient</t>
  </si>
  <si>
    <t>黄昏亮度</t>
  </si>
  <si>
    <t>TwilightAmbient</t>
  </si>
  <si>
    <t>夜里亮度</t>
  </si>
  <si>
    <t>很暗</t>
  </si>
  <si>
    <t>NightAmbient</t>
  </si>
  <si>
    <t>室内暗处亮度</t>
  </si>
  <si>
    <t>最暗</t>
  </si>
  <si>
    <t>IndoorsDarkAmbient</t>
  </si>
  <si>
    <t>基础看多远</t>
  </si>
  <si>
    <t>格</t>
  </si>
  <si>
    <t>BaseRange</t>
  </si>
  <si>
    <t>黑暗里看多远打几折</t>
  </si>
  <si>
    <t>倍</t>
  </si>
  <si>
    <t>DarkRangeFactor</t>
  </si>
  <si>
    <t>白天视野张多宽</t>
  </si>
  <si>
    <t>度</t>
  </si>
  <si>
    <t>DayHalfAngleDeg</t>
  </si>
  <si>
    <t>黑暗里视野张多宽</t>
  </si>
  <si>
    <t>DarkHalfAngleDeg</t>
  </si>
  <si>
    <t>持灯最黑时被发现距离最多加</t>
  </si>
  <si>
    <t>倍(即最多×1.7)</t>
  </si>
  <si>
    <t>MaxExposureBonus</t>
  </si>
  <si>
    <t>草药投放表 — 三种草药在各探索点各掉几份。数量暂定；空格＝这点不掉这种草。</t>
  </si>
  <si>
    <t>点位</t>
  </si>
  <si>
    <t>守林人小屋·后院棚屋</t>
  </si>
  <si>
    <t>后院墙根蒲公英/篱边玫瑰果</t>
  </si>
  <si>
    <t>cache_rangers_cabin_shed</t>
  </si>
  <si>
    <t>河边·钓点</t>
  </si>
  <si>
    <t>河边野草：蒲公英/老君须</t>
  </si>
  <si>
    <t>cache_riverside_fishing</t>
  </si>
  <si>
    <t>河边·地窖</t>
  </si>
  <si>
    <t>窖里阴干的玫瑰果</t>
  </si>
  <si>
    <t>cache_riverside_cellar</t>
  </si>
  <si>
    <t>村庄·后山窑</t>
  </si>
  <si>
    <t>后山坡老君须/蒲公英</t>
  </si>
  <si>
    <t>cache_village_backhill_kiln</t>
  </si>
  <si>
    <t>村庄·河滩棚</t>
  </si>
  <si>
    <t>河滩草丛蒲公英</t>
  </si>
  <si>
    <t>cache_village_riverbank_shack</t>
  </si>
  <si>
    <t>东部新村·老屋药箱(最深)</t>
  </si>
  <si>
    <t>老屋药柜干玫瑰果(偶尔)</t>
  </si>
  <si>
    <t>cache_newvillage_old2_medcab</t>
  </si>
  <si>
    <t>加油站·加油岛油枪</t>
  </si>
  <si>
    <t>泵岛裂缝蒲公英</t>
  </si>
  <si>
    <t>cache_gas_pump_island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</si>
</sst>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0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i/>
      <sz val="9"/>
      <color rgb="FF909090"/>
      <name val="宋体"/>
      <charset val="134"/>
      <scheme val="minor"/>
    </font>
    <font>
      <b/>
      <sz val="12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0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1" borderId="7">
      <alignment vertical="center"/>
    </xf>
    <xf numFmtId="0" fontId="14" fillId="9" borderId="8">
      <alignment vertical="center"/>
    </xf>
    <xf numFmtId="0" fontId="15" fillId="9" borderId="7">
      <alignment vertical="center"/>
    </xf>
    <xf numFmtId="0" fontId="16" fillId="12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3" fillId="37" borderId="0">
      <alignment vertical="center"/>
    </xf>
    <xf numFmtId="0" fontId="23" fillId="38" borderId="0">
      <alignment vertical="center"/>
    </xf>
    <xf numFmtId="0" fontId="22" fillId="39" borderId="0">
      <alignment vertical="center"/>
    </xf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5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4" fillId="4" borderId="0" xfId="0" applyFont="1" applyFill="1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pane ySplit="1" topLeftCell="A2" activePane="bottomLeft" state="frozen"/>
      <selection/>
      <selection pane="bottomLeft" activeCell="A1" sqref="A1:B1"/>
    </sheetView>
  </sheetViews>
  <sheetFormatPr defaultColWidth="9" defaultRowHeight="16.8" outlineLevelCol="1"/>
  <cols>
    <col min="1" max="1" width="22" customWidth="1"/>
    <col min="2" max="2" width="104" customWidth="1"/>
  </cols>
  <sheetData>
    <row r="1" ht="17.6" customHeight="1" spans="1:2">
      <c r="A1" s="16" t="s">
        <v>0</v>
      </c>
    </row>
    <row r="2" ht="34" customHeight="1" spans="1:2">
      <c r="A2" s="17" t="s">
        <v>1</v>
      </c>
      <c r="B2" s="18" t="s">
        <v>2</v>
      </c>
    </row>
    <row r="3" ht="34" customHeight="1" spans="1:2">
      <c r="A3" s="17" t="s">
        <v>3</v>
      </c>
      <c r="B3" s="18" t="s">
        <v>4</v>
      </c>
    </row>
    <row r="4" ht="34" customHeight="1" spans="1:2">
      <c r="A4" s="17" t="s">
        <v>5</v>
      </c>
      <c r="B4" s="18" t="s">
        <v>6</v>
      </c>
    </row>
    <row r="5" ht="17" customHeight="1" spans="1:2">
      <c r="A5" s="17" t="s">
        <v>7</v>
      </c>
      <c r="B5" s="18" t="s">
        <v>7</v>
      </c>
    </row>
    <row r="6" ht="17" customHeight="1" spans="1:2">
      <c r="A6" s="17" t="s">
        <v>8</v>
      </c>
      <c r="B6" s="18" t="s">
        <v>9</v>
      </c>
    </row>
    <row r="7" ht="17" customHeight="1" spans="1:2">
      <c r="A7" s="17" t="s">
        <v>10</v>
      </c>
      <c r="B7" s="18" t="s">
        <v>11</v>
      </c>
    </row>
    <row r="8" ht="17" customHeight="1" spans="1:2">
      <c r="A8" s="17" t="s">
        <v>12</v>
      </c>
      <c r="B8" s="18" t="s">
        <v>13</v>
      </c>
    </row>
    <row r="9" ht="17" customHeight="1" spans="1:2">
      <c r="A9" s="17" t="s">
        <v>14</v>
      </c>
      <c r="B9" s="18" t="s">
        <v>15</v>
      </c>
    </row>
    <row r="10" ht="17" customHeight="1" spans="1:2">
      <c r="A10" s="17" t="s">
        <v>16</v>
      </c>
      <c r="B10" s="18" t="s">
        <v>17</v>
      </c>
    </row>
    <row r="11" ht="17" customHeight="1" spans="1:2">
      <c r="A11" s="17" t="s">
        <v>18</v>
      </c>
      <c r="B11" s="18" t="s">
        <v>19</v>
      </c>
    </row>
    <row r="12" ht="17" customHeight="1" spans="1:2">
      <c r="A12" s="17" t="s">
        <v>20</v>
      </c>
      <c r="B12" s="18" t="s">
        <v>21</v>
      </c>
    </row>
    <row r="13" ht="17" customHeight="1" spans="1:2">
      <c r="A13" s="17" t="s">
        <v>22</v>
      </c>
      <c r="B13" s="18" t="s">
        <v>23</v>
      </c>
    </row>
    <row r="14" ht="17" customHeight="1" spans="1:2">
      <c r="A14" s="17" t="s">
        <v>7</v>
      </c>
      <c r="B14" s="18" t="s">
        <v>7</v>
      </c>
    </row>
    <row r="15" ht="17" customHeight="1" spans="1:2">
      <c r="A15" s="17" t="s">
        <v>24</v>
      </c>
      <c r="B15" s="18" t="s">
        <v>25</v>
      </c>
    </row>
    <row r="16" ht="17" customHeight="1" spans="1:2">
      <c r="A16" s="17" t="s">
        <v>26</v>
      </c>
      <c r="B16" s="18" t="s">
        <v>27</v>
      </c>
    </row>
    <row r="17" ht="17" customHeight="1" spans="1:2">
      <c r="A17" s="17" t="s">
        <v>28</v>
      </c>
      <c r="B17" s="18" t="s">
        <v>29</v>
      </c>
    </row>
    <row r="18" ht="17" customHeight="1" spans="1:2">
      <c r="A18" s="17" t="s">
        <v>7</v>
      </c>
      <c r="B18" s="18" t="s">
        <v>7</v>
      </c>
    </row>
    <row r="19" ht="17" customHeight="1" spans="1:2">
      <c r="A19" s="17" t="s">
        <v>30</v>
      </c>
      <c r="B19" s="18" t="s">
        <v>31</v>
      </c>
    </row>
    <row r="20" ht="34" customHeight="1" spans="1:2">
      <c r="A20" s="17" t="s">
        <v>32</v>
      </c>
      <c r="B20" s="18" t="s">
        <v>33</v>
      </c>
    </row>
    <row r="21" ht="51" customHeight="1"/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abSelected="1" workbookViewId="0">
      <pane xSplit="1" ySplit="2" topLeftCell="B11" activePane="bottomRight" state="frozen"/>
      <selection/>
      <selection pane="topRight"/>
      <selection pane="bottomLeft"/>
      <selection pane="bottomRight" activeCell="K15" sqref="K15"/>
    </sheetView>
  </sheetViews>
  <sheetFormatPr defaultColWidth="9" defaultRowHeight="16.8"/>
  <cols>
    <col min="1" max="1" width="12" customWidth="1"/>
    <col min="2" max="2" width="18" customWidth="1"/>
    <col min="3" max="3" width="13" customWidth="1"/>
    <col min="4" max="4" width="24" customWidth="1"/>
    <col min="5" max="6" width="14" customWidth="1"/>
    <col min="7" max="7" width="10" customWidth="1"/>
    <col min="8" max="8" width="30" customWidth="1"/>
  </cols>
  <sheetData>
    <row r="1" spans="1:8">
      <c r="A1" s="1" t="s">
        <v>34</v>
      </c>
      <c r="B1" s="2"/>
      <c r="C1" s="2"/>
      <c r="D1" s="2"/>
      <c r="E1" s="2"/>
      <c r="F1" s="2"/>
      <c r="G1" s="2"/>
      <c r="H1" s="3"/>
    </row>
    <row r="2" spans="1:8">
      <c r="A2" s="4" t="s">
        <v>35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40</v>
      </c>
      <c r="G2" s="4" t="s">
        <v>41</v>
      </c>
      <c r="H2" s="4" t="s">
        <v>42</v>
      </c>
    </row>
    <row r="3" ht="17" customHeight="1" spans="1:8">
      <c r="A3" s="9" t="s">
        <v>43</v>
      </c>
      <c r="B3" s="9" t="s">
        <v>44</v>
      </c>
      <c r="C3" s="9" t="s">
        <v>45</v>
      </c>
      <c r="D3" s="11" t="s">
        <v>46</v>
      </c>
      <c r="E3" s="7">
        <v>6</v>
      </c>
      <c r="F3" s="7">
        <v>3</v>
      </c>
      <c r="G3" s="7">
        <v>0.15</v>
      </c>
      <c r="H3" s="6" t="s">
        <v>47</v>
      </c>
    </row>
    <row r="4" ht="17" customHeight="1" spans="1:8">
      <c r="A4" s="9" t="s">
        <v>48</v>
      </c>
      <c r="B4" s="9" t="s">
        <v>44</v>
      </c>
      <c r="C4" s="9" t="s">
        <v>45</v>
      </c>
      <c r="D4" s="11" t="s">
        <v>46</v>
      </c>
      <c r="E4" s="7">
        <v>6</v>
      </c>
      <c r="F4" s="7">
        <v>3</v>
      </c>
      <c r="G4" s="7">
        <v>0.15</v>
      </c>
      <c r="H4" s="6" t="s">
        <v>49</v>
      </c>
    </row>
    <row r="5" ht="34" customHeight="1" spans="1:8">
      <c r="A5" s="9" t="s">
        <v>50</v>
      </c>
      <c r="B5" s="9" t="s">
        <v>44</v>
      </c>
      <c r="C5" s="9" t="s">
        <v>51</v>
      </c>
      <c r="D5" s="11" t="s">
        <v>52</v>
      </c>
      <c r="E5" s="7">
        <v>6</v>
      </c>
      <c r="F5" s="7">
        <v>3</v>
      </c>
      <c r="G5" s="7">
        <v>0.15</v>
      </c>
      <c r="H5" s="6" t="s">
        <v>53</v>
      </c>
    </row>
    <row r="6" ht="51" customHeight="1" spans="1:8">
      <c r="A6" s="9" t="s">
        <v>54</v>
      </c>
      <c r="B6" s="9" t="s">
        <v>44</v>
      </c>
      <c r="C6" s="9" t="s">
        <v>55</v>
      </c>
      <c r="D6" s="11" t="s">
        <v>56</v>
      </c>
      <c r="E6" s="7">
        <v>6</v>
      </c>
      <c r="F6" s="7">
        <v>3</v>
      </c>
      <c r="G6" s="7">
        <v>0.25</v>
      </c>
      <c r="H6" s="6" t="s">
        <v>57</v>
      </c>
    </row>
    <row r="7" ht="17" customHeight="1" spans="1:8">
      <c r="A7" s="9" t="s">
        <v>58</v>
      </c>
      <c r="B7" s="9" t="s">
        <v>44</v>
      </c>
      <c r="C7" s="9" t="s">
        <v>51</v>
      </c>
      <c r="D7" s="11" t="s">
        <v>59</v>
      </c>
      <c r="E7" s="7">
        <v>6</v>
      </c>
      <c r="F7" s="7">
        <v>3</v>
      </c>
      <c r="G7" s="7">
        <v>0.1</v>
      </c>
      <c r="H7" s="6" t="s">
        <v>60</v>
      </c>
    </row>
    <row r="8" ht="17" customHeight="1" spans="1:8">
      <c r="A8" s="9" t="s">
        <v>61</v>
      </c>
      <c r="B8" s="9" t="s">
        <v>44</v>
      </c>
      <c r="C8" s="9" t="s">
        <v>62</v>
      </c>
      <c r="D8" s="7" t="s">
        <v>63</v>
      </c>
      <c r="E8" s="7">
        <v>18</v>
      </c>
      <c r="F8" s="7">
        <v>9</v>
      </c>
      <c r="G8" s="7">
        <v>4</v>
      </c>
      <c r="H8" s="6" t="s">
        <v>64</v>
      </c>
    </row>
    <row r="9" ht="17" customHeight="1" spans="1:8">
      <c r="A9" s="9" t="s">
        <v>65</v>
      </c>
      <c r="B9" s="9" t="s">
        <v>44</v>
      </c>
      <c r="C9" s="9" t="s">
        <v>66</v>
      </c>
      <c r="D9" s="7" t="s">
        <v>67</v>
      </c>
      <c r="E9" s="7">
        <v>6</v>
      </c>
      <c r="F9" s="7">
        <v>3</v>
      </c>
      <c r="G9" s="7">
        <v>0.1</v>
      </c>
      <c r="H9" s="6" t="s">
        <v>68</v>
      </c>
    </row>
    <row r="10" ht="17" customHeight="1" spans="1:8">
      <c r="A10" s="9" t="s">
        <v>69</v>
      </c>
      <c r="B10" s="9" t="s">
        <v>44</v>
      </c>
      <c r="C10" s="9" t="s">
        <v>66</v>
      </c>
      <c r="D10" s="7" t="s">
        <v>46</v>
      </c>
      <c r="E10" s="7">
        <v>6</v>
      </c>
      <c r="F10" s="7">
        <v>3</v>
      </c>
      <c r="G10" s="7">
        <v>0.25</v>
      </c>
      <c r="H10" s="6" t="s">
        <v>70</v>
      </c>
    </row>
    <row r="11" ht="17" customHeight="1" spans="1:8">
      <c r="A11" s="9" t="s">
        <v>71</v>
      </c>
      <c r="B11" s="9" t="s">
        <v>44</v>
      </c>
      <c r="C11" s="9" t="s">
        <v>66</v>
      </c>
      <c r="D11" s="7" t="s">
        <v>46</v>
      </c>
      <c r="E11" s="7">
        <v>8</v>
      </c>
      <c r="F11" s="7">
        <v>4</v>
      </c>
      <c r="G11" s="7">
        <v>0.3</v>
      </c>
      <c r="H11" s="6" t="s">
        <v>72</v>
      </c>
    </row>
    <row r="12" ht="17" customHeight="1" spans="1:8">
      <c r="A12" s="9" t="s">
        <v>73</v>
      </c>
      <c r="B12" s="9" t="s">
        <v>44</v>
      </c>
      <c r="C12" s="9" t="s">
        <v>66</v>
      </c>
      <c r="D12" s="7" t="s">
        <v>46</v>
      </c>
      <c r="E12" s="7">
        <v>10</v>
      </c>
      <c r="F12" s="7">
        <v>5</v>
      </c>
      <c r="G12" s="7">
        <v>0.6</v>
      </c>
      <c r="H12" s="6" t="s">
        <v>74</v>
      </c>
    </row>
    <row r="13" ht="17" customHeight="1" spans="1:8">
      <c r="A13" s="9" t="s">
        <v>75</v>
      </c>
      <c r="B13" s="9" t="s">
        <v>44</v>
      </c>
      <c r="C13" s="9" t="s">
        <v>66</v>
      </c>
      <c r="D13" s="7" t="s">
        <v>46</v>
      </c>
      <c r="E13" s="7">
        <v>12</v>
      </c>
      <c r="F13" s="7">
        <v>6</v>
      </c>
      <c r="G13" s="7">
        <v>0.5</v>
      </c>
      <c r="H13" s="6" t="s">
        <v>76</v>
      </c>
    </row>
    <row r="14" ht="17" customHeight="1" spans="1:8">
      <c r="A14" s="9" t="s">
        <v>77</v>
      </c>
      <c r="B14" s="9" t="s">
        <v>44</v>
      </c>
      <c r="C14" s="9" t="s">
        <v>62</v>
      </c>
      <c r="D14" s="7" t="s">
        <v>46</v>
      </c>
      <c r="E14" s="7">
        <v>18</v>
      </c>
      <c r="F14" s="7">
        <v>9</v>
      </c>
      <c r="G14" s="7">
        <v>6</v>
      </c>
      <c r="H14" s="6" t="s">
        <v>78</v>
      </c>
    </row>
    <row r="15" ht="51" customHeight="1" spans="1:8">
      <c r="A15" s="9" t="s">
        <v>79</v>
      </c>
      <c r="B15" s="9" t="s">
        <v>44</v>
      </c>
      <c r="C15" s="9" t="s">
        <v>80</v>
      </c>
      <c r="D15" s="7" t="s">
        <v>81</v>
      </c>
      <c r="E15" s="7">
        <v>50</v>
      </c>
      <c r="F15" s="7">
        <v>25</v>
      </c>
      <c r="G15" s="7">
        <v>15</v>
      </c>
      <c r="H15" s="6" t="s">
        <v>82</v>
      </c>
    </row>
    <row r="16" ht="51" customHeight="1" spans="1:8">
      <c r="A16" s="9" t="s">
        <v>83</v>
      </c>
      <c r="B16" s="9" t="s">
        <v>44</v>
      </c>
      <c r="C16" s="9" t="s">
        <v>84</v>
      </c>
      <c r="D16" s="7" t="s">
        <v>84</v>
      </c>
      <c r="E16" s="7">
        <v>28</v>
      </c>
      <c r="F16" s="7">
        <v>14</v>
      </c>
      <c r="G16" s="7">
        <v>2.5</v>
      </c>
      <c r="H16" s="6" t="s">
        <v>85</v>
      </c>
    </row>
    <row r="17" ht="51" customHeight="1" spans="1:9">
      <c r="A17" s="9" t="s">
        <v>86</v>
      </c>
      <c r="B17" s="9" t="s">
        <v>44</v>
      </c>
      <c r="C17" s="9" t="s">
        <v>87</v>
      </c>
      <c r="D17" s="7" t="s">
        <v>88</v>
      </c>
      <c r="E17" s="7">
        <v>28</v>
      </c>
      <c r="F17" s="7">
        <v>14</v>
      </c>
      <c r="G17" s="7">
        <v>4.5</v>
      </c>
      <c r="H17" s="6" t="s">
        <v>89</v>
      </c>
    </row>
    <row r="18" ht="34" customHeight="1" spans="1:9">
      <c r="A18" s="9" t="s">
        <v>90</v>
      </c>
      <c r="B18" s="9" t="s">
        <v>44</v>
      </c>
      <c r="C18" s="9" t="s">
        <v>91</v>
      </c>
      <c r="D18" s="11" t="s">
        <v>92</v>
      </c>
      <c r="E18" s="7">
        <v>6</v>
      </c>
      <c r="F18" s="7">
        <v>3</v>
      </c>
      <c r="G18" s="7">
        <v>0.05</v>
      </c>
      <c r="H18" s="6" t="s">
        <v>93</v>
      </c>
    </row>
    <row r="19" ht="17" customHeight="1" spans="1:9">
      <c r="A19" s="14" t="s">
        <v>94</v>
      </c>
      <c r="B19" s="15" t="s">
        <v>95</v>
      </c>
      <c r="C19" s="14" t="s">
        <v>45</v>
      </c>
      <c r="D19" s="14" t="s">
        <v>96</v>
      </c>
      <c r="E19" s="14">
        <v>3</v>
      </c>
      <c r="F19" s="14">
        <v>3</v>
      </c>
      <c r="G19" s="14">
        <v>0</v>
      </c>
      <c r="H19" s="15" t="s">
        <v>97</v>
      </c>
    </row>
    <row r="20" ht="17" customHeight="1" spans="1:9">
      <c r="A20" s="9" t="s">
        <v>98</v>
      </c>
      <c r="B20" s="6" t="s">
        <v>99</v>
      </c>
      <c r="C20" s="9" t="s">
        <v>100</v>
      </c>
      <c r="D20" s="7" t="s">
        <v>67</v>
      </c>
      <c r="E20" s="7">
        <v>6</v>
      </c>
      <c r="F20" s="7">
        <v>3</v>
      </c>
      <c r="G20" s="7">
        <v>0.15</v>
      </c>
      <c r="H20" s="6" t="s">
        <v>101</v>
      </c>
    </row>
    <row r="21" ht="34" customHeight="1" spans="1:9">
      <c r="A21" s="9" t="s">
        <v>102</v>
      </c>
      <c r="B21" s="6" t="s">
        <v>99</v>
      </c>
      <c r="C21" s="9" t="s">
        <v>100</v>
      </c>
      <c r="D21" s="7" t="s">
        <v>67</v>
      </c>
      <c r="E21" s="7">
        <v>12</v>
      </c>
      <c r="F21" s="7">
        <v>6</v>
      </c>
      <c r="G21" s="7">
        <v>0.5</v>
      </c>
      <c r="H21" s="6" t="s">
        <v>103</v>
      </c>
    </row>
    <row r="22" ht="17" customHeight="1" spans="1:9">
      <c r="A22" s="9" t="s">
        <v>104</v>
      </c>
      <c r="B22" s="6" t="s">
        <v>99</v>
      </c>
      <c r="C22" s="9" t="s">
        <v>84</v>
      </c>
      <c r="D22" s="7" t="s">
        <v>84</v>
      </c>
      <c r="E22" s="7">
        <v>18</v>
      </c>
      <c r="F22" s="7">
        <v>12</v>
      </c>
      <c r="G22" s="7">
        <v>3</v>
      </c>
      <c r="H22" s="6" t="s">
        <v>105</v>
      </c>
    </row>
    <row r="23" ht="34" customHeight="1" spans="1:9">
      <c r="A23" s="9" t="s">
        <v>106</v>
      </c>
      <c r="B23" s="6" t="s">
        <v>99</v>
      </c>
      <c r="C23" s="9" t="s">
        <v>84</v>
      </c>
      <c r="D23" s="7" t="s">
        <v>84</v>
      </c>
      <c r="E23" s="7">
        <v>12</v>
      </c>
      <c r="F23" s="7">
        <v>12</v>
      </c>
      <c r="G23" s="7">
        <v>1.5</v>
      </c>
      <c r="H23" s="6" t="s">
        <v>107</v>
      </c>
    </row>
    <row r="24" ht="17" customHeight="1" spans="1:9">
      <c r="A24" s="9" t="s">
        <v>108</v>
      </c>
      <c r="B24" s="6" t="s">
        <v>99</v>
      </c>
      <c r="C24" s="9" t="s">
        <v>100</v>
      </c>
      <c r="D24" s="7" t="s">
        <v>67</v>
      </c>
      <c r="E24" s="7">
        <v>2</v>
      </c>
      <c r="F24" s="7">
        <v>1</v>
      </c>
      <c r="G24" s="7">
        <v>0.25</v>
      </c>
      <c r="H24" s="6" t="s">
        <v>109</v>
      </c>
      <c r="I24" t="s">
        <v>110</v>
      </c>
    </row>
  </sheetData>
  <mergeCells count="1">
    <mergeCell ref="A1:H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E7" sqref="E7"/>
    </sheetView>
  </sheetViews>
  <sheetFormatPr defaultColWidth="9" defaultRowHeight="16.8" outlineLevelRow="6" outlineLevelCol="5"/>
  <cols>
    <col min="1" max="1" width="12" customWidth="1"/>
    <col min="2" max="2" width="13" customWidth="1"/>
    <col min="3" max="3" width="12" customWidth="1"/>
    <col min="4" max="4" width="16" customWidth="1"/>
    <col min="5" max="5" width="24" customWidth="1"/>
    <col min="6" max="6" width="16" customWidth="1"/>
  </cols>
  <sheetData>
    <row r="1" spans="1:6">
      <c r="A1" s="1" t="s">
        <v>111</v>
      </c>
      <c r="B1" s="2"/>
      <c r="C1" s="2"/>
      <c r="D1" s="2"/>
      <c r="E1" s="2"/>
      <c r="F1" s="3"/>
    </row>
    <row r="2" ht="31" customHeight="1" spans="1:6">
      <c r="A2" s="4" t="s">
        <v>35</v>
      </c>
      <c r="B2" s="4" t="s">
        <v>112</v>
      </c>
      <c r="C2" s="4" t="s">
        <v>113</v>
      </c>
      <c r="D2" s="4" t="s">
        <v>114</v>
      </c>
      <c r="E2" s="4" t="s">
        <v>42</v>
      </c>
      <c r="F2" s="5" t="s">
        <v>115</v>
      </c>
    </row>
    <row r="3" ht="17" customHeight="1" spans="1:6">
      <c r="A3" s="9" t="s">
        <v>116</v>
      </c>
      <c r="B3" s="13">
        <v>15</v>
      </c>
      <c r="C3" s="9" t="s">
        <v>117</v>
      </c>
      <c r="D3" s="9" t="s">
        <v>118</v>
      </c>
      <c r="E3" s="6" t="s">
        <v>119</v>
      </c>
      <c r="F3" s="8" t="s">
        <v>120</v>
      </c>
    </row>
    <row r="4" ht="34" customHeight="1" spans="1:6">
      <c r="A4" s="9" t="s">
        <v>121</v>
      </c>
      <c r="B4" s="13">
        <v>25</v>
      </c>
      <c r="C4" s="9" t="s">
        <v>117</v>
      </c>
      <c r="D4" s="9" t="s">
        <v>118</v>
      </c>
      <c r="E4" s="6" t="s">
        <v>122</v>
      </c>
      <c r="F4" s="8" t="s">
        <v>123</v>
      </c>
    </row>
    <row r="5" ht="34" customHeight="1" spans="1:6">
      <c r="A5" s="9" t="s">
        <v>124</v>
      </c>
      <c r="B5" s="7">
        <v>15</v>
      </c>
      <c r="C5" s="9" t="s">
        <v>117</v>
      </c>
      <c r="D5" s="9" t="s">
        <v>118</v>
      </c>
      <c r="E5" s="6" t="s">
        <v>125</v>
      </c>
      <c r="F5" s="8" t="s">
        <v>126</v>
      </c>
    </row>
    <row r="6" ht="17" customHeight="1" spans="1:6">
      <c r="A6" s="9" t="s">
        <v>127</v>
      </c>
      <c r="B6" s="7">
        <v>25</v>
      </c>
      <c r="C6" s="9" t="s">
        <v>128</v>
      </c>
      <c r="D6" s="9" t="s">
        <v>118</v>
      </c>
      <c r="E6" s="6" t="s">
        <v>129</v>
      </c>
      <c r="F6" s="8" t="s">
        <v>130</v>
      </c>
    </row>
    <row r="7" ht="34" customHeight="1" spans="1:6">
      <c r="A7" s="9" t="s">
        <v>131</v>
      </c>
      <c r="B7" s="7">
        <v>60</v>
      </c>
      <c r="C7" s="9" t="s">
        <v>132</v>
      </c>
      <c r="D7" s="6" t="s">
        <v>133</v>
      </c>
      <c r="E7" s="6" t="s">
        <v>134</v>
      </c>
      <c r="F7" s="8" t="s">
        <v>135</v>
      </c>
    </row>
  </sheetData>
  <mergeCells count="1">
    <mergeCell ref="A1:F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H2" sqref="H2"/>
    </sheetView>
  </sheetViews>
  <sheetFormatPr defaultColWidth="9" defaultRowHeight="16.8" outlineLevelRow="5" outlineLevelCol="6"/>
  <cols>
    <col min="1" max="1" width="12" customWidth="1"/>
    <col min="2" max="2" width="9" customWidth="1"/>
    <col min="3" max="4" width="20" customWidth="1"/>
    <col min="5" max="5" width="10" customWidth="1"/>
    <col min="6" max="6" width="32" customWidth="1"/>
    <col min="7" max="7" width="16" customWidth="1"/>
  </cols>
  <sheetData>
    <row r="1" spans="1:7">
      <c r="A1" s="1" t="s">
        <v>136</v>
      </c>
      <c r="B1" s="2"/>
      <c r="C1" s="2"/>
      <c r="D1" s="2"/>
      <c r="E1" s="2"/>
      <c r="F1" s="2"/>
      <c r="G1" s="3"/>
    </row>
    <row r="2" ht="31" customHeight="1" spans="1:7">
      <c r="A2" s="4" t="s">
        <v>35</v>
      </c>
      <c r="B2" s="4" t="s">
        <v>137</v>
      </c>
      <c r="C2" s="4" t="s">
        <v>138</v>
      </c>
      <c r="D2" s="4" t="s">
        <v>139</v>
      </c>
      <c r="E2" s="4" t="s">
        <v>140</v>
      </c>
      <c r="F2" s="4" t="s">
        <v>42</v>
      </c>
      <c r="G2" s="5" t="s">
        <v>115</v>
      </c>
    </row>
    <row r="3" ht="17" customHeight="1" spans="1:7">
      <c r="A3" s="9" t="s">
        <v>141</v>
      </c>
      <c r="B3" s="9" t="s">
        <v>142</v>
      </c>
      <c r="C3" s="13">
        <v>100</v>
      </c>
      <c r="D3" s="13" t="s">
        <v>143</v>
      </c>
      <c r="E3" s="7">
        <v>0.5</v>
      </c>
      <c r="F3" s="6" t="s">
        <v>144</v>
      </c>
      <c r="G3" s="8" t="s">
        <v>145</v>
      </c>
    </row>
    <row r="4" ht="17" customHeight="1" spans="1:7">
      <c r="A4" s="9" t="s">
        <v>146</v>
      </c>
      <c r="B4" s="9" t="s">
        <v>142</v>
      </c>
      <c r="C4" s="13">
        <v>35</v>
      </c>
      <c r="D4" s="13" t="s">
        <v>147</v>
      </c>
      <c r="E4" s="7">
        <v>0.5</v>
      </c>
      <c r="F4" s="6" t="s">
        <v>148</v>
      </c>
      <c r="G4" s="8" t="s">
        <v>149</v>
      </c>
    </row>
    <row r="5" ht="17" customHeight="1" spans="1:7">
      <c r="A5" s="9" t="s">
        <v>150</v>
      </c>
      <c r="B5" s="9" t="s">
        <v>142</v>
      </c>
      <c r="C5" s="13">
        <v>15</v>
      </c>
      <c r="D5" s="13" t="s">
        <v>151</v>
      </c>
      <c r="E5" s="7">
        <v>0.5</v>
      </c>
      <c r="F5" s="6" t="s">
        <v>152</v>
      </c>
      <c r="G5" s="8" t="s">
        <v>153</v>
      </c>
    </row>
    <row r="6" ht="17" customHeight="1" spans="1:7">
      <c r="A6" s="9" t="s">
        <v>154</v>
      </c>
      <c r="B6" s="9" t="s">
        <v>155</v>
      </c>
      <c r="C6" s="7">
        <v>100</v>
      </c>
      <c r="D6" s="7" t="s">
        <v>156</v>
      </c>
      <c r="E6" s="7">
        <v>0.6</v>
      </c>
      <c r="F6" s="6" t="s">
        <v>157</v>
      </c>
      <c r="G6" s="8" t="s">
        <v>158</v>
      </c>
    </row>
  </sheetData>
  <mergeCells count="1">
    <mergeCell ref="A1:G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16" sqref="A16"/>
    </sheetView>
  </sheetViews>
  <sheetFormatPr defaultColWidth="9" defaultRowHeight="16.8" outlineLevelCol="4"/>
  <cols>
    <col min="1" max="1" width="24" customWidth="1"/>
    <col min="2" max="2" width="10" customWidth="1"/>
    <col min="3" max="3" width="16" customWidth="1"/>
    <col min="4" max="4" width="34" customWidth="1"/>
    <col min="5" max="5" width="22" customWidth="1"/>
  </cols>
  <sheetData>
    <row r="1" spans="1:5">
      <c r="A1" s="1" t="s">
        <v>159</v>
      </c>
      <c r="B1" s="2"/>
      <c r="C1" s="2"/>
      <c r="D1" s="2"/>
      <c r="E1" s="3"/>
    </row>
    <row r="2" spans="1:5">
      <c r="A2" s="4" t="s">
        <v>160</v>
      </c>
      <c r="B2" s="4" t="s">
        <v>161</v>
      </c>
      <c r="C2" s="4" t="s">
        <v>162</v>
      </c>
      <c r="D2" s="4" t="s">
        <v>163</v>
      </c>
      <c r="E2" s="5" t="s">
        <v>115</v>
      </c>
    </row>
    <row r="3" spans="1:5">
      <c r="A3" s="1" t="s">
        <v>164</v>
      </c>
      <c r="B3" s="2"/>
      <c r="C3" s="2"/>
      <c r="D3" s="2"/>
      <c r="E3" s="3"/>
    </row>
    <row r="4" ht="17" customHeight="1" spans="1:5">
      <c r="A4" s="6" t="s">
        <v>165</v>
      </c>
      <c r="B4" s="7">
        <v>0.45</v>
      </c>
      <c r="C4" s="9" t="s">
        <v>166</v>
      </c>
      <c r="D4" s="6" t="s">
        <v>167</v>
      </c>
      <c r="E4" s="8" t="s">
        <v>168</v>
      </c>
    </row>
    <row r="5" ht="17" customHeight="1" spans="1:5">
      <c r="A5" s="6" t="s">
        <v>169</v>
      </c>
      <c r="B5" s="7">
        <v>0.1667</v>
      </c>
      <c r="C5" s="9" t="s">
        <v>170</v>
      </c>
      <c r="D5" s="6" t="s">
        <v>171</v>
      </c>
      <c r="E5" s="8" t="s">
        <v>172</v>
      </c>
    </row>
    <row r="6" ht="34" customHeight="1" spans="1:5">
      <c r="A6" s="6" t="s">
        <v>173</v>
      </c>
      <c r="B6" s="7">
        <v>0.67</v>
      </c>
      <c r="C6" s="9" t="s">
        <v>170</v>
      </c>
      <c r="D6" s="6" t="s">
        <v>174</v>
      </c>
      <c r="E6" s="8" t="s">
        <v>175</v>
      </c>
    </row>
    <row r="7" ht="17" customHeight="1" spans="1:5">
      <c r="A7" s="6" t="s">
        <v>176</v>
      </c>
      <c r="B7" s="7">
        <v>4</v>
      </c>
      <c r="C7" s="9" t="s">
        <v>177</v>
      </c>
      <c r="D7" s="6" t="s">
        <v>178</v>
      </c>
      <c r="E7" s="8" t="s">
        <v>179</v>
      </c>
    </row>
    <row r="8" ht="17" customHeight="1" spans="1:5">
      <c r="A8" s="6" t="s">
        <v>180</v>
      </c>
      <c r="B8" s="7">
        <v>0</v>
      </c>
      <c r="C8" s="9" t="s">
        <v>181</v>
      </c>
      <c r="D8" s="6" t="s">
        <v>182</v>
      </c>
      <c r="E8" s="8" t="s">
        <v>183</v>
      </c>
    </row>
    <row r="9" spans="1:5">
      <c r="A9" s="1" t="s">
        <v>184</v>
      </c>
      <c r="B9" s="2"/>
      <c r="C9" s="2"/>
      <c r="D9" s="2"/>
      <c r="E9" s="3"/>
    </row>
    <row r="10" ht="17" customHeight="1" spans="1:5">
      <c r="A10" s="6" t="s">
        <v>185</v>
      </c>
      <c r="B10" s="7">
        <v>0.1</v>
      </c>
      <c r="C10" s="9" t="s">
        <v>170</v>
      </c>
      <c r="D10" s="6" t="s">
        <v>186</v>
      </c>
      <c r="E10" s="8" t="s">
        <v>187</v>
      </c>
    </row>
    <row r="11" ht="17" customHeight="1" spans="1:5">
      <c r="A11" s="6" t="s">
        <v>188</v>
      </c>
      <c r="B11" s="7">
        <v>0.6</v>
      </c>
      <c r="C11" s="9" t="s">
        <v>189</v>
      </c>
      <c r="D11" s="6" t="s">
        <v>190</v>
      </c>
      <c r="E11" s="8" t="s">
        <v>191</v>
      </c>
    </row>
    <row r="12" ht="17" customHeight="1" spans="1:5">
      <c r="A12" s="6" t="s">
        <v>192</v>
      </c>
      <c r="B12" s="7">
        <v>0.2</v>
      </c>
      <c r="C12" s="9" t="s">
        <v>170</v>
      </c>
      <c r="D12" s="6" t="s">
        <v>193</v>
      </c>
      <c r="E12" s="8" t="s">
        <v>194</v>
      </c>
    </row>
    <row r="13" ht="17" customHeight="1" spans="1:5">
      <c r="A13" s="6" t="s">
        <v>195</v>
      </c>
      <c r="B13" s="7">
        <v>0.05</v>
      </c>
      <c r="C13" s="9" t="s">
        <v>170</v>
      </c>
      <c r="D13" s="6" t="s">
        <v>196</v>
      </c>
      <c r="E13" s="8" t="s">
        <v>197</v>
      </c>
    </row>
    <row r="14" ht="17" customHeight="1" spans="1:5">
      <c r="A14" s="6" t="s">
        <v>198</v>
      </c>
      <c r="B14" s="7">
        <v>0.24</v>
      </c>
      <c r="C14" s="9" t="s">
        <v>170</v>
      </c>
      <c r="D14" s="6" t="s">
        <v>199</v>
      </c>
      <c r="E14" s="8" t="s">
        <v>200</v>
      </c>
    </row>
    <row r="15" spans="1:5">
      <c r="A15" s="1" t="s">
        <v>201</v>
      </c>
      <c r="B15" s="2"/>
      <c r="C15" s="2"/>
      <c r="D15" s="2"/>
      <c r="E15" s="3"/>
    </row>
    <row r="16" ht="17" customHeight="1" spans="1:5">
      <c r="A16" s="6" t="s">
        <v>202</v>
      </c>
      <c r="B16" s="7">
        <v>15</v>
      </c>
      <c r="C16" s="9" t="s">
        <v>203</v>
      </c>
      <c r="D16" s="6" t="s">
        <v>204</v>
      </c>
      <c r="E16" s="8" t="s">
        <v>205</v>
      </c>
    </row>
    <row r="17" ht="17" customHeight="1" spans="1:5">
      <c r="A17" s="6" t="s">
        <v>206</v>
      </c>
      <c r="B17" s="7">
        <v>10</v>
      </c>
      <c r="C17" s="9" t="s">
        <v>203</v>
      </c>
      <c r="D17" s="9" t="s">
        <v>207</v>
      </c>
      <c r="E17" s="8" t="s">
        <v>208</v>
      </c>
    </row>
    <row r="18" ht="17" customHeight="1" spans="1:5">
      <c r="A18" s="6" t="s">
        <v>209</v>
      </c>
      <c r="B18" s="7">
        <v>10</v>
      </c>
      <c r="C18" s="9" t="s">
        <v>210</v>
      </c>
      <c r="D18" s="6" t="s">
        <v>211</v>
      </c>
      <c r="E18" s="8" t="s">
        <v>212</v>
      </c>
    </row>
    <row r="19" ht="17" customHeight="1" spans="1:5">
      <c r="A19" s="6" t="s">
        <v>213</v>
      </c>
      <c r="B19" s="7">
        <v>15</v>
      </c>
      <c r="C19" s="9" t="s">
        <v>214</v>
      </c>
      <c r="D19" s="6" t="s">
        <v>215</v>
      </c>
      <c r="E19" s="8" t="s">
        <v>216</v>
      </c>
    </row>
    <row r="20" ht="17" customHeight="1" spans="1:5">
      <c r="A20" s="6" t="s">
        <v>217</v>
      </c>
      <c r="B20" s="7">
        <v>0.6</v>
      </c>
      <c r="C20" s="9" t="s">
        <v>218</v>
      </c>
      <c r="D20" s="6" t="s">
        <v>219</v>
      </c>
      <c r="E20" s="8" t="s">
        <v>220</v>
      </c>
    </row>
    <row r="21" ht="17" customHeight="1" spans="1:5">
      <c r="A21" s="6" t="s">
        <v>221</v>
      </c>
      <c r="B21" s="7">
        <v>1</v>
      </c>
      <c r="C21" s="9" t="s">
        <v>177</v>
      </c>
      <c r="D21" s="6" t="s">
        <v>222</v>
      </c>
      <c r="E21" s="8" t="s">
        <v>223</v>
      </c>
    </row>
    <row r="22" spans="1:5">
      <c r="A22" s="1" t="s">
        <v>224</v>
      </c>
      <c r="B22" s="2"/>
      <c r="C22" s="2"/>
      <c r="D22" s="2"/>
      <c r="E22" s="3"/>
    </row>
    <row r="23" ht="34" customHeight="1" spans="1:5">
      <c r="A23" s="6" t="s">
        <v>225</v>
      </c>
      <c r="B23" s="13">
        <v>9</v>
      </c>
      <c r="C23" s="6" t="s">
        <v>226</v>
      </c>
      <c r="D23" s="6" t="s">
        <v>227</v>
      </c>
      <c r="E23" s="8" t="s">
        <v>228</v>
      </c>
    </row>
    <row r="24" ht="17" customHeight="1" spans="1:5">
      <c r="A24" s="6" t="s">
        <v>229</v>
      </c>
      <c r="B24" s="7">
        <v>10</v>
      </c>
      <c r="C24" s="9" t="s">
        <v>230</v>
      </c>
      <c r="D24" s="6" t="s">
        <v>231</v>
      </c>
      <c r="E24" s="8" t="s">
        <v>232</v>
      </c>
    </row>
  </sheetData>
  <mergeCells count="5">
    <mergeCell ref="A1:E1"/>
    <mergeCell ref="A3:E3"/>
    <mergeCell ref="A9:E9"/>
    <mergeCell ref="A15:E15"/>
    <mergeCell ref="A22:E2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6" sqref="A6"/>
    </sheetView>
  </sheetViews>
  <sheetFormatPr defaultColWidth="9" defaultRowHeight="16.8" outlineLevelCol="5"/>
  <cols>
    <col min="1" max="1" width="11" customWidth="1"/>
    <col min="2" max="2" width="8" customWidth="1"/>
    <col min="3" max="3" width="18" customWidth="1"/>
    <col min="4" max="4" width="16" customWidth="1"/>
    <col min="5" max="5" width="22" customWidth="1"/>
    <col min="6" max="6" width="18" customWidth="1"/>
  </cols>
  <sheetData>
    <row r="1" spans="1:6">
      <c r="A1" s="1" t="s">
        <v>233</v>
      </c>
      <c r="B1" s="2"/>
      <c r="C1" s="2"/>
      <c r="D1" s="2"/>
      <c r="E1" s="2"/>
      <c r="F1" s="3"/>
    </row>
    <row r="2" ht="31" customHeight="1" spans="1:6">
      <c r="A2" s="4" t="s">
        <v>35</v>
      </c>
      <c r="B2" s="4" t="s">
        <v>234</v>
      </c>
      <c r="C2" s="4" t="s">
        <v>235</v>
      </c>
      <c r="D2" s="4" t="s">
        <v>236</v>
      </c>
      <c r="E2" s="4" t="s">
        <v>42</v>
      </c>
      <c r="F2" s="5" t="s">
        <v>115</v>
      </c>
    </row>
    <row r="3" ht="17" customHeight="1" spans="1:6">
      <c r="A3" s="9" t="s">
        <v>237</v>
      </c>
      <c r="B3" s="9" t="s">
        <v>238</v>
      </c>
      <c r="C3" s="7">
        <v>2</v>
      </c>
      <c r="D3" s="12">
        <f t="shared" ref="D3:D23" si="0">ROUND(C3*0.6,2)</f>
        <v>1.2</v>
      </c>
      <c r="E3" s="6" t="s">
        <v>239</v>
      </c>
      <c r="F3" s="8" t="s">
        <v>240</v>
      </c>
    </row>
    <row r="4" ht="17" customHeight="1" spans="1:6">
      <c r="A4" s="9" t="s">
        <v>241</v>
      </c>
      <c r="B4" s="9" t="s">
        <v>241</v>
      </c>
      <c r="C4" s="7">
        <v>3</v>
      </c>
      <c r="D4" s="12">
        <f t="shared" si="0"/>
        <v>1.8</v>
      </c>
      <c r="E4" s="9" t="s">
        <v>242</v>
      </c>
      <c r="F4" s="8" t="s">
        <v>243</v>
      </c>
    </row>
    <row r="5" ht="17" customHeight="1" spans="1:6">
      <c r="A5" s="9" t="s">
        <v>244</v>
      </c>
      <c r="B5" s="9" t="s">
        <v>245</v>
      </c>
      <c r="C5" s="7">
        <v>3</v>
      </c>
      <c r="D5" s="12">
        <f t="shared" si="0"/>
        <v>1.8</v>
      </c>
      <c r="E5" s="9" t="s">
        <v>7</v>
      </c>
      <c r="F5" s="8" t="s">
        <v>246</v>
      </c>
    </row>
    <row r="6" ht="17" customHeight="1" spans="1:6">
      <c r="A6" s="9" t="s">
        <v>247</v>
      </c>
      <c r="B6" s="9" t="s">
        <v>245</v>
      </c>
      <c r="C6" s="7">
        <v>8</v>
      </c>
      <c r="D6" s="12">
        <f t="shared" si="0"/>
        <v>4.8</v>
      </c>
      <c r="E6" s="9" t="s">
        <v>7</v>
      </c>
      <c r="F6" s="8" t="s">
        <v>248</v>
      </c>
    </row>
    <row r="7" ht="17" customHeight="1" spans="1:6">
      <c r="A7" s="9" t="s">
        <v>249</v>
      </c>
      <c r="B7" s="9" t="s">
        <v>245</v>
      </c>
      <c r="C7" s="7">
        <v>2</v>
      </c>
      <c r="D7" s="12">
        <f t="shared" si="0"/>
        <v>1.2</v>
      </c>
      <c r="E7" s="9" t="s">
        <v>7</v>
      </c>
      <c r="F7" s="8" t="s">
        <v>250</v>
      </c>
    </row>
    <row r="8" ht="17" customHeight="1" spans="1:6">
      <c r="A8" s="9" t="s">
        <v>251</v>
      </c>
      <c r="B8" s="9" t="s">
        <v>245</v>
      </c>
      <c r="C8" s="7">
        <v>3</v>
      </c>
      <c r="D8" s="12">
        <f t="shared" si="0"/>
        <v>1.8</v>
      </c>
      <c r="E8" s="9" t="s">
        <v>7</v>
      </c>
      <c r="F8" s="8" t="s">
        <v>252</v>
      </c>
    </row>
    <row r="9" ht="17" customHeight="1" spans="1:6">
      <c r="A9" s="9" t="s">
        <v>253</v>
      </c>
      <c r="B9" s="9" t="s">
        <v>254</v>
      </c>
      <c r="C9" s="7">
        <v>4</v>
      </c>
      <c r="D9" s="12">
        <f t="shared" si="0"/>
        <v>2.4</v>
      </c>
      <c r="E9" s="9" t="s">
        <v>7</v>
      </c>
      <c r="F9" s="8" t="s">
        <v>255</v>
      </c>
    </row>
    <row r="10" ht="17" customHeight="1" spans="1:6">
      <c r="A10" s="9" t="s">
        <v>256</v>
      </c>
      <c r="B10" s="9" t="s">
        <v>254</v>
      </c>
      <c r="C10" s="7">
        <v>7</v>
      </c>
      <c r="D10" s="12">
        <f t="shared" si="0"/>
        <v>4.2</v>
      </c>
      <c r="E10" s="9" t="s">
        <v>257</v>
      </c>
      <c r="F10" s="8" t="s">
        <v>258</v>
      </c>
    </row>
    <row r="11" ht="17" customHeight="1" spans="1:6">
      <c r="A11" s="9" t="s">
        <v>259</v>
      </c>
      <c r="B11" s="9" t="s">
        <v>260</v>
      </c>
      <c r="C11" s="7">
        <v>2</v>
      </c>
      <c r="D11" s="12">
        <f t="shared" si="0"/>
        <v>1.2</v>
      </c>
      <c r="E11" s="9" t="s">
        <v>7</v>
      </c>
      <c r="F11" s="8" t="s">
        <v>261</v>
      </c>
    </row>
    <row r="12" ht="17" customHeight="1" spans="1:6">
      <c r="A12" s="9" t="s">
        <v>262</v>
      </c>
      <c r="B12" s="9" t="s">
        <v>263</v>
      </c>
      <c r="C12" s="7">
        <v>10</v>
      </c>
      <c r="D12" s="12">
        <f t="shared" si="0"/>
        <v>6</v>
      </c>
      <c r="E12" s="9" t="s">
        <v>7</v>
      </c>
      <c r="F12" s="8" t="s">
        <v>264</v>
      </c>
    </row>
    <row r="13" ht="17" customHeight="1" spans="1:6">
      <c r="A13" s="9" t="s">
        <v>265</v>
      </c>
      <c r="B13" s="9" t="s">
        <v>263</v>
      </c>
      <c r="C13" s="7">
        <v>6</v>
      </c>
      <c r="D13" s="12">
        <f t="shared" si="0"/>
        <v>3.6</v>
      </c>
      <c r="E13" s="9" t="s">
        <v>7</v>
      </c>
      <c r="F13" s="8" t="s">
        <v>266</v>
      </c>
    </row>
    <row r="14" ht="17" customHeight="1" spans="1:6">
      <c r="A14" s="9" t="s">
        <v>267</v>
      </c>
      <c r="B14" s="9" t="s">
        <v>263</v>
      </c>
      <c r="C14" s="7">
        <v>8</v>
      </c>
      <c r="D14" s="12">
        <f t="shared" si="0"/>
        <v>4.8</v>
      </c>
      <c r="E14" s="9" t="s">
        <v>268</v>
      </c>
      <c r="F14" s="8" t="s">
        <v>269</v>
      </c>
    </row>
    <row r="15" ht="17" customHeight="1" spans="1:6">
      <c r="A15" s="9" t="s">
        <v>270</v>
      </c>
      <c r="B15" s="9" t="s">
        <v>260</v>
      </c>
      <c r="C15" s="7">
        <v>2</v>
      </c>
      <c r="D15" s="12">
        <f t="shared" si="0"/>
        <v>1.2</v>
      </c>
      <c r="E15" s="9" t="s">
        <v>7</v>
      </c>
      <c r="F15" s="8" t="s">
        <v>271</v>
      </c>
    </row>
    <row r="16" ht="17" customHeight="1" spans="1:6">
      <c r="A16" s="9" t="s">
        <v>272</v>
      </c>
      <c r="B16" s="9" t="s">
        <v>260</v>
      </c>
      <c r="C16" s="7">
        <v>3</v>
      </c>
      <c r="D16" s="12">
        <f t="shared" si="0"/>
        <v>1.8</v>
      </c>
      <c r="E16" s="9" t="s">
        <v>7</v>
      </c>
      <c r="F16" s="8" t="s">
        <v>273</v>
      </c>
    </row>
    <row r="17" ht="17" customHeight="1" spans="1:6">
      <c r="A17" s="9" t="s">
        <v>274</v>
      </c>
      <c r="B17" s="9" t="s">
        <v>260</v>
      </c>
      <c r="C17" s="7">
        <v>12</v>
      </c>
      <c r="D17" s="12">
        <f t="shared" si="0"/>
        <v>7.2</v>
      </c>
      <c r="E17" s="6" t="s">
        <v>275</v>
      </c>
      <c r="F17" s="8" t="s">
        <v>276</v>
      </c>
    </row>
    <row r="18" ht="17" customHeight="1" spans="1:6">
      <c r="A18" s="9" t="s">
        <v>116</v>
      </c>
      <c r="B18" s="9" t="s">
        <v>277</v>
      </c>
      <c r="C18" s="7">
        <v>5</v>
      </c>
      <c r="D18" s="12">
        <f t="shared" si="0"/>
        <v>3</v>
      </c>
      <c r="E18" s="9" t="s">
        <v>7</v>
      </c>
      <c r="F18" s="8" t="s">
        <v>120</v>
      </c>
    </row>
    <row r="19" ht="17" customHeight="1" spans="1:6">
      <c r="A19" s="9" t="s">
        <v>124</v>
      </c>
      <c r="B19" s="9" t="s">
        <v>277</v>
      </c>
      <c r="C19" s="7">
        <v>6</v>
      </c>
      <c r="D19" s="12">
        <f t="shared" si="0"/>
        <v>3.6</v>
      </c>
      <c r="E19" s="9" t="s">
        <v>7</v>
      </c>
      <c r="F19" s="8" t="s">
        <v>126</v>
      </c>
    </row>
    <row r="20" ht="17" customHeight="1" spans="1:6">
      <c r="A20" s="9" t="s">
        <v>127</v>
      </c>
      <c r="B20" s="9" t="s">
        <v>277</v>
      </c>
      <c r="C20" s="7">
        <v>8</v>
      </c>
      <c r="D20" s="12">
        <f t="shared" si="0"/>
        <v>4.8</v>
      </c>
      <c r="E20" s="9" t="s">
        <v>7</v>
      </c>
      <c r="F20" s="8" t="s">
        <v>130</v>
      </c>
    </row>
    <row r="21" ht="17" customHeight="1" spans="1:6">
      <c r="A21" s="9" t="s">
        <v>131</v>
      </c>
      <c r="B21" s="9" t="s">
        <v>277</v>
      </c>
      <c r="C21" s="7">
        <v>20</v>
      </c>
      <c r="D21" s="12">
        <f t="shared" si="0"/>
        <v>12</v>
      </c>
      <c r="E21" s="9" t="s">
        <v>7</v>
      </c>
      <c r="F21" s="8" t="s">
        <v>135</v>
      </c>
    </row>
    <row r="22" ht="17" customHeight="1" spans="1:6">
      <c r="A22" s="9" t="s">
        <v>141</v>
      </c>
      <c r="B22" s="9" t="s">
        <v>277</v>
      </c>
      <c r="C22" s="7">
        <v>15</v>
      </c>
      <c r="D22" s="12">
        <f t="shared" si="0"/>
        <v>9</v>
      </c>
      <c r="E22" s="9" t="s">
        <v>7</v>
      </c>
      <c r="F22" s="8" t="s">
        <v>145</v>
      </c>
    </row>
    <row r="23" ht="17" customHeight="1" spans="1:6">
      <c r="A23" s="9" t="s">
        <v>154</v>
      </c>
      <c r="B23" s="9" t="s">
        <v>277</v>
      </c>
      <c r="C23" s="7">
        <v>10</v>
      </c>
      <c r="D23" s="12">
        <f t="shared" si="0"/>
        <v>6</v>
      </c>
      <c r="E23" s="9" t="s">
        <v>7</v>
      </c>
      <c r="F23" s="8" t="s">
        <v>158</v>
      </c>
    </row>
    <row r="24" ht="17" customHeight="1" spans="1:6">
      <c r="A24" s="9" t="s">
        <v>121</v>
      </c>
      <c r="B24" s="9" t="s">
        <v>277</v>
      </c>
      <c r="C24" s="9" t="s">
        <v>278</v>
      </c>
      <c r="D24" s="9" t="s">
        <v>156</v>
      </c>
      <c r="E24" s="9" t="s">
        <v>7</v>
      </c>
      <c r="F24" s="8" t="s">
        <v>123</v>
      </c>
    </row>
    <row r="25" ht="17" customHeight="1" spans="1:6">
      <c r="A25" s="9" t="s">
        <v>279</v>
      </c>
      <c r="B25" s="9" t="s">
        <v>277</v>
      </c>
      <c r="C25" s="9" t="s">
        <v>278</v>
      </c>
      <c r="D25" s="9" t="s">
        <v>156</v>
      </c>
      <c r="E25" s="9" t="s">
        <v>7</v>
      </c>
      <c r="F25" s="8" t="s">
        <v>280</v>
      </c>
    </row>
    <row r="26" ht="17" customHeight="1" spans="1:6">
      <c r="A26" s="9" t="s">
        <v>281</v>
      </c>
      <c r="B26" s="9" t="s">
        <v>277</v>
      </c>
      <c r="C26" s="9" t="s">
        <v>278</v>
      </c>
      <c r="D26" s="9" t="s">
        <v>156</v>
      </c>
      <c r="E26" s="9" t="s">
        <v>7</v>
      </c>
      <c r="F26" s="8" t="s">
        <v>282</v>
      </c>
    </row>
    <row r="27" ht="17" customHeight="1" spans="1:6">
      <c r="A27" s="9" t="s">
        <v>283</v>
      </c>
      <c r="B27" s="9" t="s">
        <v>277</v>
      </c>
      <c r="C27" s="9" t="s">
        <v>278</v>
      </c>
      <c r="D27" s="9" t="s">
        <v>156</v>
      </c>
      <c r="E27" s="9" t="s">
        <v>7</v>
      </c>
      <c r="F27" s="8" t="s">
        <v>284</v>
      </c>
    </row>
    <row r="28" ht="17" customHeight="1" spans="1:6">
      <c r="A28" s="9" t="s">
        <v>146</v>
      </c>
      <c r="B28" s="9" t="s">
        <v>277</v>
      </c>
      <c r="C28" s="9" t="s">
        <v>278</v>
      </c>
      <c r="D28" s="9" t="s">
        <v>156</v>
      </c>
      <c r="E28" s="9" t="s">
        <v>7</v>
      </c>
      <c r="F28" s="8" t="s">
        <v>149</v>
      </c>
    </row>
    <row r="29" ht="17" customHeight="1" spans="1:6">
      <c r="A29" s="9" t="s">
        <v>150</v>
      </c>
      <c r="B29" s="9" t="s">
        <v>277</v>
      </c>
      <c r="C29" s="9" t="s">
        <v>278</v>
      </c>
      <c r="D29" s="9" t="s">
        <v>156</v>
      </c>
      <c r="E29" s="9" t="s">
        <v>7</v>
      </c>
      <c r="F29" s="8" t="s">
        <v>153</v>
      </c>
    </row>
    <row r="30" ht="17" customHeight="1" spans="1:6">
      <c r="A30" s="9" t="s">
        <v>285</v>
      </c>
      <c r="B30" s="9" t="s">
        <v>277</v>
      </c>
      <c r="C30" s="9" t="s">
        <v>278</v>
      </c>
      <c r="D30" s="9" t="s">
        <v>156</v>
      </c>
      <c r="E30" s="9" t="s">
        <v>7</v>
      </c>
      <c r="F30" s="8" t="s">
        <v>286</v>
      </c>
    </row>
    <row r="31" ht="17" customHeight="1" spans="1:6">
      <c r="A31" s="9" t="s">
        <v>287</v>
      </c>
      <c r="B31" s="9" t="s">
        <v>288</v>
      </c>
      <c r="C31" s="9" t="s">
        <v>278</v>
      </c>
      <c r="D31" s="9" t="s">
        <v>156</v>
      </c>
      <c r="E31" s="6" t="s">
        <v>289</v>
      </c>
      <c r="F31" s="8" t="s">
        <v>290</v>
      </c>
    </row>
    <row r="32" ht="17" customHeight="1" spans="1:6">
      <c r="A32" s="9" t="s">
        <v>291</v>
      </c>
      <c r="B32" s="9" t="s">
        <v>245</v>
      </c>
      <c r="C32" s="7">
        <v>12</v>
      </c>
      <c r="D32" s="12">
        <f t="shared" ref="D32:D38" si="1">ROUND(C32*0.6,2)</f>
        <v>7.2</v>
      </c>
      <c r="E32" s="6" t="s">
        <v>292</v>
      </c>
      <c r="F32" s="8" t="s">
        <v>293</v>
      </c>
    </row>
    <row r="33" ht="51" customHeight="1" spans="1:6">
      <c r="A33" s="9" t="s">
        <v>294</v>
      </c>
      <c r="B33" s="9" t="s">
        <v>295</v>
      </c>
      <c r="C33" s="7">
        <v>4</v>
      </c>
      <c r="D33" s="12">
        <f t="shared" si="1"/>
        <v>2.4</v>
      </c>
      <c r="E33" s="6" t="s">
        <v>296</v>
      </c>
      <c r="F33" s="8" t="s">
        <v>297</v>
      </c>
    </row>
    <row r="34" ht="51" customHeight="1" spans="1:6">
      <c r="A34" s="9" t="s">
        <v>298</v>
      </c>
      <c r="B34" s="9" t="s">
        <v>295</v>
      </c>
      <c r="C34" s="7">
        <v>7</v>
      </c>
      <c r="D34" s="12">
        <f t="shared" si="1"/>
        <v>4.2</v>
      </c>
      <c r="E34" s="6" t="s">
        <v>299</v>
      </c>
      <c r="F34" s="8" t="s">
        <v>300</v>
      </c>
    </row>
    <row r="35" ht="51" customHeight="1" spans="1:6">
      <c r="A35" s="9" t="s">
        <v>301</v>
      </c>
      <c r="B35" s="9" t="s">
        <v>295</v>
      </c>
      <c r="C35" s="7">
        <v>9</v>
      </c>
      <c r="D35" s="12">
        <f t="shared" si="1"/>
        <v>5.4</v>
      </c>
      <c r="E35" s="6" t="s">
        <v>302</v>
      </c>
      <c r="F35" s="8" t="s">
        <v>303</v>
      </c>
    </row>
    <row r="36" ht="51" customHeight="1" spans="1:6">
      <c r="A36" s="9" t="s">
        <v>304</v>
      </c>
      <c r="B36" s="9" t="s">
        <v>295</v>
      </c>
      <c r="C36" s="7">
        <v>18</v>
      </c>
      <c r="D36" s="12">
        <f t="shared" si="1"/>
        <v>10.8</v>
      </c>
      <c r="E36" s="6" t="s">
        <v>305</v>
      </c>
      <c r="F36" s="8" t="s">
        <v>306</v>
      </c>
    </row>
    <row r="37" ht="68" spans="1:6">
      <c r="A37" s="9" t="s">
        <v>307</v>
      </c>
      <c r="B37" s="9" t="s">
        <v>238</v>
      </c>
      <c r="C37" s="7">
        <v>1</v>
      </c>
      <c r="D37" s="12">
        <f t="shared" si="1"/>
        <v>0.6</v>
      </c>
      <c r="E37" s="6" t="s">
        <v>308</v>
      </c>
      <c r="F37" s="8" t="s">
        <v>309</v>
      </c>
    </row>
    <row r="38" ht="68" spans="1:6">
      <c r="A38" s="9" t="s">
        <v>310</v>
      </c>
      <c r="B38" s="9" t="s">
        <v>263</v>
      </c>
      <c r="C38" s="7">
        <v>10</v>
      </c>
      <c r="D38" s="12">
        <f t="shared" si="1"/>
        <v>6</v>
      </c>
      <c r="E38" s="6" t="s">
        <v>311</v>
      </c>
      <c r="F38" s="8" t="s">
        <v>312</v>
      </c>
    </row>
  </sheetData>
  <mergeCells count="1">
    <mergeCell ref="A1:F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1" sqref="A1:J1"/>
    </sheetView>
  </sheetViews>
  <sheetFormatPr defaultColWidth="9" defaultRowHeight="16.8"/>
  <cols>
    <col min="1" max="1" width="11" customWidth="1"/>
    <col min="2" max="2" width="7" customWidth="1"/>
    <col min="3" max="3" width="30" customWidth="1"/>
    <col min="4" max="4" width="12" customWidth="1"/>
    <col min="5" max="5" width="13" customWidth="1"/>
    <col min="6" max="6" width="14" customWidth="1"/>
    <col min="7" max="7" width="22" customWidth="1"/>
    <col min="8" max="8" width="8" customWidth="1"/>
    <col min="9" max="9" width="14" customWidth="1"/>
    <col min="10" max="10" width="18" customWidth="1"/>
  </cols>
  <sheetData>
    <row r="1" spans="1:10">
      <c r="A1" s="1" t="s">
        <v>313</v>
      </c>
      <c r="B1" s="2"/>
      <c r="C1" s="2"/>
      <c r="D1" s="2"/>
      <c r="E1" s="2"/>
      <c r="F1" s="2"/>
      <c r="G1" s="2"/>
      <c r="H1" s="2"/>
      <c r="I1" s="2"/>
      <c r="J1" s="3"/>
    </row>
    <row r="2" spans="1:10">
      <c r="A2" s="4" t="s">
        <v>314</v>
      </c>
      <c r="B2" s="4" t="s">
        <v>315</v>
      </c>
      <c r="C2" s="4" t="s">
        <v>316</v>
      </c>
      <c r="D2" s="4" t="s">
        <v>317</v>
      </c>
      <c r="E2" s="4" t="s">
        <v>318</v>
      </c>
      <c r="F2" s="4" t="s">
        <v>319</v>
      </c>
      <c r="G2" s="4" t="s">
        <v>320</v>
      </c>
      <c r="H2" s="4" t="s">
        <v>321</v>
      </c>
      <c r="I2" s="4" t="s">
        <v>42</v>
      </c>
      <c r="J2" s="5" t="s">
        <v>115</v>
      </c>
    </row>
    <row r="3" ht="17" customHeight="1" spans="1:10">
      <c r="A3" s="9" t="s">
        <v>322</v>
      </c>
      <c r="B3" s="7">
        <v>1</v>
      </c>
      <c r="C3" s="11" t="s">
        <v>323</v>
      </c>
      <c r="D3" s="7">
        <v>45</v>
      </c>
      <c r="E3" s="9" t="s">
        <v>156</v>
      </c>
      <c r="F3" s="9" t="s">
        <v>324</v>
      </c>
      <c r="G3" s="9" t="s">
        <v>325</v>
      </c>
      <c r="H3" s="9" t="s">
        <v>260</v>
      </c>
      <c r="I3" s="9" t="s">
        <v>7</v>
      </c>
      <c r="J3" s="8" t="s">
        <v>326</v>
      </c>
    </row>
    <row r="4" ht="17" customHeight="1" spans="1:10">
      <c r="A4" s="9" t="s">
        <v>65</v>
      </c>
      <c r="B4" s="7">
        <v>1</v>
      </c>
      <c r="C4" s="11" t="s">
        <v>327</v>
      </c>
      <c r="D4" s="7">
        <v>90</v>
      </c>
      <c r="E4" s="9" t="s">
        <v>156</v>
      </c>
      <c r="F4" s="9" t="s">
        <v>328</v>
      </c>
      <c r="G4" s="9" t="s">
        <v>325</v>
      </c>
      <c r="H4" s="9" t="s">
        <v>329</v>
      </c>
      <c r="I4" s="9" t="s">
        <v>330</v>
      </c>
      <c r="J4" s="8" t="s">
        <v>331</v>
      </c>
    </row>
    <row r="5" ht="17" customHeight="1" spans="1:10">
      <c r="A5" s="9" t="s">
        <v>71</v>
      </c>
      <c r="B5" s="7">
        <v>1</v>
      </c>
      <c r="C5" s="11" t="s">
        <v>332</v>
      </c>
      <c r="D5" s="7">
        <v>150</v>
      </c>
      <c r="E5" s="9" t="s">
        <v>156</v>
      </c>
      <c r="F5" s="9" t="s">
        <v>328</v>
      </c>
      <c r="G5" s="9" t="s">
        <v>325</v>
      </c>
      <c r="H5" s="9" t="s">
        <v>329</v>
      </c>
      <c r="I5" s="9" t="s">
        <v>333</v>
      </c>
      <c r="J5" s="8" t="s">
        <v>334</v>
      </c>
    </row>
    <row r="6" ht="17" customHeight="1" spans="1:10">
      <c r="A6" s="9" t="s">
        <v>335</v>
      </c>
      <c r="B6" s="7">
        <v>1</v>
      </c>
      <c r="C6" s="7" t="s">
        <v>336</v>
      </c>
      <c r="D6" s="7">
        <v>60</v>
      </c>
      <c r="E6" s="9" t="s">
        <v>156</v>
      </c>
      <c r="F6" s="9" t="s">
        <v>337</v>
      </c>
      <c r="G6" s="9" t="s">
        <v>325</v>
      </c>
      <c r="H6" s="9" t="s">
        <v>338</v>
      </c>
      <c r="I6" s="9" t="s">
        <v>339</v>
      </c>
      <c r="J6" s="8" t="s">
        <v>340</v>
      </c>
    </row>
    <row r="7" ht="17" customHeight="1" spans="1:10">
      <c r="A7" s="9" t="s">
        <v>341</v>
      </c>
      <c r="B7" s="7">
        <v>1</v>
      </c>
      <c r="C7" s="11" t="s">
        <v>342</v>
      </c>
      <c r="D7" s="7">
        <v>150</v>
      </c>
      <c r="E7" s="9" t="s">
        <v>343</v>
      </c>
      <c r="F7" s="9" t="s">
        <v>344</v>
      </c>
      <c r="G7" s="9" t="s">
        <v>325</v>
      </c>
      <c r="H7" s="9" t="s">
        <v>338</v>
      </c>
      <c r="I7" s="9" t="s">
        <v>7</v>
      </c>
      <c r="J7" s="8" t="s">
        <v>345</v>
      </c>
    </row>
    <row r="8" ht="17" customHeight="1" spans="1:10">
      <c r="A8" s="9" t="s">
        <v>262</v>
      </c>
      <c r="B8" s="7">
        <v>2</v>
      </c>
      <c r="C8" s="11" t="s">
        <v>346</v>
      </c>
      <c r="D8" s="7">
        <v>60</v>
      </c>
      <c r="E8" s="9" t="s">
        <v>347</v>
      </c>
      <c r="F8" s="9" t="s">
        <v>348</v>
      </c>
      <c r="G8" s="9" t="s">
        <v>325</v>
      </c>
      <c r="H8" s="9" t="s">
        <v>263</v>
      </c>
      <c r="I8" s="9" t="s">
        <v>7</v>
      </c>
      <c r="J8" s="8" t="s">
        <v>264</v>
      </c>
    </row>
    <row r="9" ht="17" customHeight="1" spans="1:10">
      <c r="A9" s="9" t="s">
        <v>265</v>
      </c>
      <c r="B9" s="7">
        <v>2</v>
      </c>
      <c r="C9" s="11" t="s">
        <v>349</v>
      </c>
      <c r="D9" s="7">
        <v>60</v>
      </c>
      <c r="E9" s="9" t="s">
        <v>347</v>
      </c>
      <c r="F9" s="9" t="s">
        <v>348</v>
      </c>
      <c r="G9" s="9" t="s">
        <v>325</v>
      </c>
      <c r="H9" s="9" t="s">
        <v>263</v>
      </c>
      <c r="I9" s="9" t="s">
        <v>7</v>
      </c>
      <c r="J9" s="8" t="s">
        <v>266</v>
      </c>
    </row>
    <row r="10" ht="17" customHeight="1" spans="1:10">
      <c r="A10" s="9" t="s">
        <v>350</v>
      </c>
      <c r="B10" s="7">
        <v>1</v>
      </c>
      <c r="C10" s="11" t="s">
        <v>351</v>
      </c>
      <c r="D10" s="7">
        <v>120</v>
      </c>
      <c r="E10" s="9" t="s">
        <v>352</v>
      </c>
      <c r="F10" s="9" t="s">
        <v>344</v>
      </c>
      <c r="G10" s="9" t="s">
        <v>325</v>
      </c>
      <c r="H10" s="9" t="s">
        <v>353</v>
      </c>
      <c r="I10" s="9" t="s">
        <v>7</v>
      </c>
      <c r="J10" s="8" t="s">
        <v>354</v>
      </c>
    </row>
    <row r="11" ht="17" customHeight="1" spans="1:10">
      <c r="A11" s="9" t="s">
        <v>355</v>
      </c>
      <c r="B11" s="7">
        <v>1</v>
      </c>
      <c r="C11" s="11" t="s">
        <v>356</v>
      </c>
      <c r="D11" s="7">
        <v>20</v>
      </c>
      <c r="E11" s="9" t="s">
        <v>156</v>
      </c>
      <c r="F11" s="9" t="s">
        <v>337</v>
      </c>
      <c r="G11" s="9" t="s">
        <v>325</v>
      </c>
      <c r="H11" s="9" t="s">
        <v>260</v>
      </c>
      <c r="I11" s="9" t="s">
        <v>357</v>
      </c>
      <c r="J11" s="8" t="s">
        <v>358</v>
      </c>
    </row>
    <row r="12" ht="34" customHeight="1" spans="1:10">
      <c r="A12" s="9" t="s">
        <v>146</v>
      </c>
      <c r="B12" s="7">
        <v>1</v>
      </c>
      <c r="C12" s="11" t="s">
        <v>359</v>
      </c>
      <c r="D12" s="7">
        <v>40</v>
      </c>
      <c r="E12" s="9" t="s">
        <v>156</v>
      </c>
      <c r="F12" s="9" t="s">
        <v>337</v>
      </c>
      <c r="G12" s="9" t="s">
        <v>325</v>
      </c>
      <c r="H12" s="9" t="s">
        <v>260</v>
      </c>
      <c r="I12" s="6" t="s">
        <v>360</v>
      </c>
      <c r="J12" s="8" t="s">
        <v>149</v>
      </c>
    </row>
    <row r="13" ht="17" customHeight="1" spans="1:10">
      <c r="A13" s="9" t="s">
        <v>150</v>
      </c>
      <c r="B13" s="7">
        <v>1</v>
      </c>
      <c r="C13" s="7" t="s">
        <v>361</v>
      </c>
      <c r="D13" s="7">
        <v>15</v>
      </c>
      <c r="E13" s="9" t="s">
        <v>156</v>
      </c>
      <c r="F13" s="9" t="s">
        <v>337</v>
      </c>
      <c r="G13" s="9" t="s">
        <v>325</v>
      </c>
      <c r="H13" s="9" t="s">
        <v>260</v>
      </c>
      <c r="I13" s="6" t="s">
        <v>362</v>
      </c>
      <c r="J13" s="8" t="s">
        <v>153</v>
      </c>
    </row>
    <row r="14" ht="17" customHeight="1" spans="1:10">
      <c r="A14" s="9" t="s">
        <v>121</v>
      </c>
      <c r="B14" s="7">
        <v>1</v>
      </c>
      <c r="C14" s="11" t="s">
        <v>363</v>
      </c>
      <c r="D14" s="7">
        <v>20</v>
      </c>
      <c r="E14" s="9" t="s">
        <v>156</v>
      </c>
      <c r="F14" s="9" t="s">
        <v>337</v>
      </c>
      <c r="G14" s="9" t="s">
        <v>325</v>
      </c>
      <c r="H14" s="9" t="s">
        <v>260</v>
      </c>
      <c r="I14" s="9" t="s">
        <v>364</v>
      </c>
      <c r="J14" s="8" t="s">
        <v>123</v>
      </c>
    </row>
    <row r="15" ht="34" customHeight="1" spans="1:10">
      <c r="A15" s="9" t="s">
        <v>285</v>
      </c>
      <c r="B15" s="7">
        <v>1</v>
      </c>
      <c r="C15" s="7" t="s">
        <v>365</v>
      </c>
      <c r="D15" s="7">
        <v>15</v>
      </c>
      <c r="E15" s="9" t="s">
        <v>156</v>
      </c>
      <c r="F15" s="9" t="s">
        <v>337</v>
      </c>
      <c r="G15" s="9" t="s">
        <v>325</v>
      </c>
      <c r="H15" s="9" t="s">
        <v>260</v>
      </c>
      <c r="I15" s="6" t="s">
        <v>366</v>
      </c>
      <c r="J15" s="8" t="s">
        <v>286</v>
      </c>
    </row>
    <row r="16" ht="34" customHeight="1" spans="1:10">
      <c r="A16" s="9" t="s">
        <v>98</v>
      </c>
      <c r="B16" s="7">
        <v>1</v>
      </c>
      <c r="C16" s="11" t="s">
        <v>367</v>
      </c>
      <c r="D16" s="7">
        <v>50</v>
      </c>
      <c r="E16" s="9" t="s">
        <v>156</v>
      </c>
      <c r="F16" s="9" t="s">
        <v>337</v>
      </c>
      <c r="G16" s="6" t="s">
        <v>368</v>
      </c>
      <c r="H16" s="9" t="s">
        <v>329</v>
      </c>
      <c r="I16" s="9" t="s">
        <v>369</v>
      </c>
      <c r="J16" s="8" t="s">
        <v>370</v>
      </c>
    </row>
    <row r="17" ht="34" customHeight="1" spans="1:10">
      <c r="A17" s="9" t="s">
        <v>102</v>
      </c>
      <c r="B17" s="7">
        <v>1</v>
      </c>
      <c r="C17" s="11" t="s">
        <v>371</v>
      </c>
      <c r="D17" s="7">
        <v>70</v>
      </c>
      <c r="E17" s="9" t="s">
        <v>156</v>
      </c>
      <c r="F17" s="9" t="s">
        <v>337</v>
      </c>
      <c r="G17" s="6" t="s">
        <v>368</v>
      </c>
      <c r="H17" s="9" t="s">
        <v>329</v>
      </c>
      <c r="I17" s="9" t="s">
        <v>369</v>
      </c>
      <c r="J17" s="8" t="s">
        <v>372</v>
      </c>
    </row>
    <row r="18" ht="34" customHeight="1" spans="1:10">
      <c r="A18" s="9" t="s">
        <v>108</v>
      </c>
      <c r="B18" s="7">
        <v>1</v>
      </c>
      <c r="C18" s="11" t="s">
        <v>373</v>
      </c>
      <c r="D18" s="7">
        <v>60</v>
      </c>
      <c r="E18" s="9" t="s">
        <v>156</v>
      </c>
      <c r="F18" s="9" t="s">
        <v>337</v>
      </c>
      <c r="G18" s="6" t="s">
        <v>368</v>
      </c>
      <c r="H18" s="9" t="s">
        <v>329</v>
      </c>
      <c r="I18" s="9" t="s">
        <v>374</v>
      </c>
      <c r="J18" s="8" t="s">
        <v>375</v>
      </c>
    </row>
    <row r="19" ht="34" customHeight="1" spans="1:10">
      <c r="A19" s="9" t="s">
        <v>104</v>
      </c>
      <c r="B19" s="7">
        <v>1</v>
      </c>
      <c r="C19" s="11" t="s">
        <v>376</v>
      </c>
      <c r="D19" s="7">
        <v>70</v>
      </c>
      <c r="E19" s="9" t="s">
        <v>156</v>
      </c>
      <c r="F19" s="9" t="s">
        <v>337</v>
      </c>
      <c r="G19" s="6" t="s">
        <v>368</v>
      </c>
      <c r="H19" s="9" t="s">
        <v>260</v>
      </c>
      <c r="I19" s="9" t="s">
        <v>369</v>
      </c>
      <c r="J19" s="8" t="s">
        <v>377</v>
      </c>
    </row>
    <row r="20" ht="34" customHeight="1" spans="1:10">
      <c r="A20" s="9" t="s">
        <v>106</v>
      </c>
      <c r="B20" s="7">
        <v>1</v>
      </c>
      <c r="C20" s="11" t="s">
        <v>378</v>
      </c>
      <c r="D20" s="7">
        <v>55</v>
      </c>
      <c r="E20" s="9" t="s">
        <v>156</v>
      </c>
      <c r="F20" s="9" t="s">
        <v>337</v>
      </c>
      <c r="G20" s="6" t="s">
        <v>368</v>
      </c>
      <c r="H20" s="9" t="s">
        <v>260</v>
      </c>
      <c r="I20" s="9" t="s">
        <v>369</v>
      </c>
      <c r="J20" s="8" t="s">
        <v>379</v>
      </c>
    </row>
    <row r="21" ht="84" spans="1:10">
      <c r="A21" s="9" t="s">
        <v>237</v>
      </c>
      <c r="B21" s="7">
        <v>4</v>
      </c>
      <c r="C21" s="11" t="s">
        <v>380</v>
      </c>
      <c r="D21" s="7">
        <v>40</v>
      </c>
      <c r="E21" s="9" t="s">
        <v>343</v>
      </c>
      <c r="F21" s="9" t="s">
        <v>337</v>
      </c>
      <c r="G21" s="9" t="s">
        <v>325</v>
      </c>
      <c r="H21" s="9" t="s">
        <v>338</v>
      </c>
      <c r="I21" s="9" t="s">
        <v>381</v>
      </c>
      <c r="J21" s="8" t="s">
        <v>382</v>
      </c>
    </row>
    <row r="22" ht="68" spans="1:10">
      <c r="A22" s="9" t="s">
        <v>310</v>
      </c>
      <c r="B22" s="7">
        <v>2</v>
      </c>
      <c r="C22" s="11" t="s">
        <v>383</v>
      </c>
      <c r="D22" s="7">
        <v>60</v>
      </c>
      <c r="E22" s="9" t="s">
        <v>347</v>
      </c>
      <c r="F22" s="9" t="s">
        <v>348</v>
      </c>
      <c r="G22" s="9" t="s">
        <v>325</v>
      </c>
      <c r="H22" s="9" t="s">
        <v>263</v>
      </c>
      <c r="I22" s="9" t="s">
        <v>384</v>
      </c>
      <c r="J22" s="8" t="s">
        <v>312</v>
      </c>
    </row>
    <row r="23" ht="202" spans="1:10">
      <c r="A23" s="9" t="s">
        <v>385</v>
      </c>
      <c r="B23" s="7">
        <v>1</v>
      </c>
      <c r="C23" s="11" t="s">
        <v>386</v>
      </c>
      <c r="D23" s="7">
        <v>30</v>
      </c>
      <c r="E23" s="9" t="s">
        <v>156</v>
      </c>
      <c r="F23" s="9" t="s">
        <v>337</v>
      </c>
      <c r="G23" s="9" t="s">
        <v>325</v>
      </c>
      <c r="H23" s="9" t="s">
        <v>260</v>
      </c>
      <c r="I23" s="9" t="s">
        <v>387</v>
      </c>
      <c r="J23" s="8" t="s">
        <v>388</v>
      </c>
    </row>
  </sheetData>
  <mergeCells count="1">
    <mergeCell ref="A1:J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pane xSplit="1" ySplit="2" topLeftCell="B14" activePane="bottomRight" state="frozen"/>
      <selection/>
      <selection pane="topRight"/>
      <selection pane="bottomLeft"/>
      <selection pane="bottomRight" activeCell="B14" sqref="B14"/>
    </sheetView>
  </sheetViews>
  <sheetFormatPr defaultColWidth="9" defaultRowHeight="16.8" outlineLevelCol="6"/>
  <cols>
    <col min="1" max="1" width="26" customWidth="1"/>
    <col min="2" max="2" width="14" customWidth="1"/>
    <col min="3" max="3" width="12" customWidth="1"/>
    <col min="4" max="4" width="10" customWidth="1"/>
    <col min="5" max="5" width="12" customWidth="1"/>
    <col min="6" max="6" width="22" customWidth="1"/>
    <col min="7" max="7" width="18" customWidth="1"/>
  </cols>
  <sheetData>
    <row r="1" spans="1:7">
      <c r="A1" s="1" t="s">
        <v>389</v>
      </c>
      <c r="B1" s="2"/>
      <c r="C1" s="2"/>
      <c r="D1" s="2"/>
      <c r="E1" s="2"/>
      <c r="F1" s="2"/>
      <c r="G1" s="3"/>
    </row>
    <row r="2" spans="1:7">
      <c r="A2" s="4" t="s">
        <v>35</v>
      </c>
      <c r="B2" s="4" t="s">
        <v>390</v>
      </c>
      <c r="C2" s="4" t="s">
        <v>391</v>
      </c>
      <c r="D2" s="4" t="s">
        <v>392</v>
      </c>
      <c r="E2" s="4" t="s">
        <v>393</v>
      </c>
      <c r="F2" s="4" t="s">
        <v>42</v>
      </c>
      <c r="G2" s="5" t="s">
        <v>115</v>
      </c>
    </row>
    <row r="3" ht="34" customHeight="1" spans="1:7">
      <c r="A3" s="9" t="s">
        <v>394</v>
      </c>
      <c r="B3" s="9" t="s">
        <v>395</v>
      </c>
      <c r="C3" s="7">
        <v>0.9</v>
      </c>
      <c r="D3" s="7">
        <v>340</v>
      </c>
      <c r="E3" s="6" t="s">
        <v>396</v>
      </c>
      <c r="F3" s="6" t="s">
        <v>397</v>
      </c>
      <c r="G3" s="8" t="s">
        <v>398</v>
      </c>
    </row>
    <row r="4" ht="34" customHeight="1" spans="1:7">
      <c r="A4" s="9" t="s">
        <v>355</v>
      </c>
      <c r="B4" s="9" t="s">
        <v>395</v>
      </c>
      <c r="C4" s="7">
        <v>0.7</v>
      </c>
      <c r="D4" s="7">
        <v>240</v>
      </c>
      <c r="E4" s="6" t="s">
        <v>399</v>
      </c>
      <c r="F4" s="6" t="s">
        <v>400</v>
      </c>
      <c r="G4" s="8" t="s">
        <v>358</v>
      </c>
    </row>
    <row r="5" ht="17" customHeight="1" spans="1:7">
      <c r="A5" s="9" t="s">
        <v>401</v>
      </c>
      <c r="B5" s="9" t="s">
        <v>402</v>
      </c>
      <c r="C5" s="7">
        <v>0.75</v>
      </c>
      <c r="D5" s="7">
        <v>300</v>
      </c>
      <c r="E5" s="6" t="s">
        <v>403</v>
      </c>
      <c r="F5" s="6" t="s">
        <v>404</v>
      </c>
      <c r="G5" s="8" t="s">
        <v>405</v>
      </c>
    </row>
    <row r="6" ht="34" customHeight="1" spans="1:7">
      <c r="A6" s="9" t="s">
        <v>406</v>
      </c>
      <c r="B6" s="9" t="s">
        <v>402</v>
      </c>
      <c r="C6" s="7">
        <v>0.95</v>
      </c>
      <c r="D6" s="7">
        <v>460</v>
      </c>
      <c r="E6" s="6" t="s">
        <v>407</v>
      </c>
      <c r="F6" s="6" t="s">
        <v>408</v>
      </c>
      <c r="G6" s="8" t="s">
        <v>409</v>
      </c>
    </row>
    <row r="8" spans="1:7">
      <c r="A8" s="1" t="s">
        <v>410</v>
      </c>
      <c r="B8" s="2"/>
      <c r="C8" s="2"/>
      <c r="D8" s="2"/>
      <c r="E8" s="2"/>
      <c r="F8" s="2"/>
      <c r="G8" s="3"/>
    </row>
    <row r="9" spans="1:7">
      <c r="A9" s="4" t="s">
        <v>160</v>
      </c>
      <c r="B9" s="4" t="s">
        <v>161</v>
      </c>
      <c r="C9" s="4" t="s">
        <v>411</v>
      </c>
      <c r="D9" s="4" t="s">
        <v>7</v>
      </c>
      <c r="E9" s="4" t="s">
        <v>7</v>
      </c>
      <c r="F9" s="4" t="s">
        <v>7</v>
      </c>
      <c r="G9" s="5" t="s">
        <v>115</v>
      </c>
    </row>
    <row r="10" spans="1:7">
      <c r="A10" s="10" t="s">
        <v>412</v>
      </c>
      <c r="B10" s="7">
        <v>1</v>
      </c>
      <c r="C10" s="6" t="s">
        <v>413</v>
      </c>
      <c r="D10" s="2"/>
      <c r="E10" s="2"/>
      <c r="F10" s="3"/>
      <c r="G10" s="8" t="s">
        <v>414</v>
      </c>
    </row>
    <row r="11" spans="1:7">
      <c r="A11" s="10" t="s">
        <v>415</v>
      </c>
      <c r="B11" s="7">
        <v>0.5</v>
      </c>
      <c r="C11" s="6" t="s">
        <v>7</v>
      </c>
      <c r="D11" s="2"/>
      <c r="E11" s="2"/>
      <c r="F11" s="3"/>
      <c r="G11" s="8" t="s">
        <v>416</v>
      </c>
    </row>
    <row r="12" spans="1:7">
      <c r="A12" s="10" t="s">
        <v>417</v>
      </c>
      <c r="B12" s="7">
        <v>0.15</v>
      </c>
      <c r="C12" s="6" t="s">
        <v>418</v>
      </c>
      <c r="D12" s="2"/>
      <c r="E12" s="2"/>
      <c r="F12" s="3"/>
      <c r="G12" s="8" t="s">
        <v>419</v>
      </c>
    </row>
    <row r="13" spans="1:7">
      <c r="A13" s="10" t="s">
        <v>420</v>
      </c>
      <c r="B13" s="7">
        <v>0.1</v>
      </c>
      <c r="C13" s="6" t="s">
        <v>421</v>
      </c>
      <c r="D13" s="2"/>
      <c r="E13" s="2"/>
      <c r="F13" s="3"/>
      <c r="G13" s="8" t="s">
        <v>422</v>
      </c>
    </row>
    <row r="14" spans="1:7">
      <c r="A14" s="10" t="s">
        <v>423</v>
      </c>
      <c r="B14" s="7">
        <v>300</v>
      </c>
      <c r="C14" s="6" t="s">
        <v>424</v>
      </c>
      <c r="D14" s="2"/>
      <c r="E14" s="2"/>
      <c r="F14" s="3"/>
      <c r="G14" s="8" t="s">
        <v>425</v>
      </c>
    </row>
    <row r="15" spans="1:7">
      <c r="A15" s="10" t="s">
        <v>426</v>
      </c>
      <c r="B15" s="7">
        <v>0.35</v>
      </c>
      <c r="C15" s="6" t="s">
        <v>427</v>
      </c>
      <c r="D15" s="2"/>
      <c r="E15" s="2"/>
      <c r="F15" s="3"/>
      <c r="G15" s="8" t="s">
        <v>428</v>
      </c>
    </row>
    <row r="16" spans="1:7">
      <c r="A16" s="10" t="s">
        <v>429</v>
      </c>
      <c r="B16" s="7">
        <v>120</v>
      </c>
      <c r="C16" s="6" t="s">
        <v>430</v>
      </c>
      <c r="D16" s="2"/>
      <c r="E16" s="2"/>
      <c r="F16" s="3"/>
      <c r="G16" s="8" t="s">
        <v>431</v>
      </c>
    </row>
    <row r="17" spans="1:7">
      <c r="A17" s="10" t="s">
        <v>432</v>
      </c>
      <c r="B17" s="7">
        <v>45</v>
      </c>
      <c r="C17" s="6" t="s">
        <v>430</v>
      </c>
      <c r="D17" s="2"/>
      <c r="E17" s="2"/>
      <c r="F17" s="3"/>
      <c r="G17" s="8" t="s">
        <v>433</v>
      </c>
    </row>
    <row r="18" spans="1:7">
      <c r="A18" s="10" t="s">
        <v>434</v>
      </c>
      <c r="B18" s="7">
        <v>0.7</v>
      </c>
      <c r="C18" s="6" t="s">
        <v>435</v>
      </c>
      <c r="D18" s="2"/>
      <c r="E18" s="2"/>
      <c r="F18" s="3"/>
      <c r="G18" s="8" t="s">
        <v>436</v>
      </c>
    </row>
  </sheetData>
  <mergeCells count="11">
    <mergeCell ref="A1:G1"/>
    <mergeCell ref="A8:G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1" sqref="A1:F1"/>
    </sheetView>
  </sheetViews>
  <sheetFormatPr defaultColWidth="9" defaultRowHeight="16.8" outlineLevelCol="5"/>
  <cols>
    <col min="1" max="1" width="24" customWidth="1"/>
    <col min="2" max="4" width="10" customWidth="1"/>
    <col min="5" max="5" width="26" customWidth="1"/>
    <col min="6" max="6" width="30" customWidth="1"/>
  </cols>
  <sheetData>
    <row r="1" spans="1:6">
      <c r="A1" s="1" t="s">
        <v>437</v>
      </c>
      <c r="B1" s="2"/>
      <c r="C1" s="2"/>
      <c r="D1" s="2"/>
      <c r="E1" s="2"/>
      <c r="F1" s="3"/>
    </row>
    <row r="2" spans="1:6">
      <c r="A2" s="4" t="s">
        <v>438</v>
      </c>
      <c r="B2" s="4" t="s">
        <v>279</v>
      </c>
      <c r="C2" s="4" t="s">
        <v>281</v>
      </c>
      <c r="D2" s="4" t="s">
        <v>283</v>
      </c>
      <c r="E2" s="4" t="s">
        <v>42</v>
      </c>
      <c r="F2" s="5" t="s">
        <v>115</v>
      </c>
    </row>
    <row r="3" ht="34" customHeight="1" spans="1:6">
      <c r="A3" s="6" t="s">
        <v>439</v>
      </c>
      <c r="B3" s="7">
        <v>1</v>
      </c>
      <c r="C3" s="7">
        <v>1</v>
      </c>
      <c r="D3" s="7" t="s">
        <v>7</v>
      </c>
      <c r="E3" s="6" t="s">
        <v>440</v>
      </c>
      <c r="F3" s="8" t="s">
        <v>441</v>
      </c>
    </row>
    <row r="4" ht="17" customHeight="1" spans="1:6">
      <c r="A4" s="9" t="s">
        <v>442</v>
      </c>
      <c r="B4" s="7">
        <v>1</v>
      </c>
      <c r="C4" s="7" t="s">
        <v>7</v>
      </c>
      <c r="D4" s="7">
        <v>1</v>
      </c>
      <c r="E4" s="6" t="s">
        <v>443</v>
      </c>
      <c r="F4" s="8" t="s">
        <v>444</v>
      </c>
    </row>
    <row r="5" ht="17" customHeight="1" spans="1:6">
      <c r="A5" s="9" t="s">
        <v>445</v>
      </c>
      <c r="B5" s="7" t="s">
        <v>7</v>
      </c>
      <c r="C5" s="7">
        <v>1</v>
      </c>
      <c r="D5" s="7" t="s">
        <v>7</v>
      </c>
      <c r="E5" s="6" t="s">
        <v>446</v>
      </c>
      <c r="F5" s="8" t="s">
        <v>447</v>
      </c>
    </row>
    <row r="6" ht="17" customHeight="1" spans="1:6">
      <c r="A6" s="9" t="s">
        <v>448</v>
      </c>
      <c r="B6" s="7">
        <v>1</v>
      </c>
      <c r="C6" s="7" t="s">
        <v>7</v>
      </c>
      <c r="D6" s="7">
        <v>1</v>
      </c>
      <c r="E6" s="6" t="s">
        <v>449</v>
      </c>
      <c r="F6" s="8" t="s">
        <v>450</v>
      </c>
    </row>
    <row r="7" ht="17" customHeight="1" spans="1:6">
      <c r="A7" s="9" t="s">
        <v>451</v>
      </c>
      <c r="B7" s="7">
        <v>1</v>
      </c>
      <c r="C7" s="7" t="s">
        <v>7</v>
      </c>
      <c r="D7" s="7" t="s">
        <v>7</v>
      </c>
      <c r="E7" s="6" t="s">
        <v>452</v>
      </c>
      <c r="F7" s="8" t="s">
        <v>453</v>
      </c>
    </row>
    <row r="8" ht="34" customHeight="1" spans="1:6">
      <c r="A8" s="6" t="s">
        <v>454</v>
      </c>
      <c r="B8" s="7" t="s">
        <v>7</v>
      </c>
      <c r="C8" s="7">
        <v>1</v>
      </c>
      <c r="D8" s="7" t="s">
        <v>7</v>
      </c>
      <c r="E8" s="6" t="s">
        <v>455</v>
      </c>
      <c r="F8" s="8" t="s">
        <v>456</v>
      </c>
    </row>
    <row r="9" ht="17" customHeight="1" spans="1:6">
      <c r="A9" s="6" t="s">
        <v>457</v>
      </c>
      <c r="B9" s="7">
        <v>1</v>
      </c>
      <c r="C9" s="7" t="s">
        <v>7</v>
      </c>
      <c r="D9" s="7" t="s">
        <v>7</v>
      </c>
      <c r="E9" s="6" t="s">
        <v>458</v>
      </c>
      <c r="F9" s="8" t="s">
        <v>459</v>
      </c>
    </row>
  </sheetData>
  <mergeCells count="1">
    <mergeCell ref="A1:F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说明</vt:lpstr>
      <vt:lpstr>护甲表</vt:lpstr>
      <vt:lpstr>手术耗材表</vt:lpstr>
      <vt:lpstr>感染用药表</vt:lpstr>
      <vt:lpstr>伤病锚点表</vt:lpstr>
      <vt:lpstr>材料表</vt:lpstr>
      <vt:lpstr>配方表</vt:lpstr>
      <vt:lpstr>光源表</vt:lpstr>
      <vt:lpstr>草药投放表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Valar</cp:lastModifiedBy>
  <dcterms:created xsi:type="dcterms:W3CDTF">2026-07-12T02:08:00Z</dcterms:created>
  <dcterms:modified xsi:type="dcterms:W3CDTF">2026-07-13T12:22:50Z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AF89604E81F7702FA760546A3C70E1E5_42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