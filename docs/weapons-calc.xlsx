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640" activeTab="1"/>
  </bookViews>
  <sheets>
    <sheet name="武器表" sheetId="1" r:id="rId1"/>
    <sheet name="箭矢表" sheetId="2" r:id="rId2"/>
    <sheet name="参数区" sheetId="3" r:id="rId3"/>
    <sheet name="行为噪音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<sst xmlns="http://schemas.openxmlformats.org/spreadsheetml/2006/main" count="391" uniqueCount="284">
  <si>
    <t>输入列（手工填）</t>
  </si>
  <si>
    <t>计算列（自动，勿改）</t>
  </si>
  <si>
    <t>中间量（推导用，可折叠）</t>
  </si>
  <si>
    <t>负重（输入·待你定）</t>
  </si>
  <si>
    <t>多弹丸（输入·手工填）</t>
  </si>
  <si>
    <t>弹药（输入·手工填）</t>
  </si>
  <si>
    <t>弹药（自动·勿改）</t>
  </si>
  <si>
    <t>噪音（输入·手工填）</t>
  </si>
  <si>
    <t>砸墙（输入·手工填）</t>
  </si>
  <si>
    <t>武器名</t>
  </si>
  <si>
    <t>简介</t>
  </si>
  <si>
    <t>远程?(是/否)</t>
  </si>
  <si>
    <t>持握(单手/双手/双持)</t>
  </si>
  <si>
    <t>伤害下限</t>
  </si>
  <si>
    <t>伤害上限</t>
  </si>
  <si>
    <t>穿透(0~1)</t>
  </si>
  <si>
    <t>伤害类型(锐/钝)</t>
  </si>
  <si>
    <t>冷却(秒)</t>
  </si>
  <si>
    <t>连发数</t>
  </si>
  <si>
    <t>连发内间隔(秒)</t>
  </si>
  <si>
    <t>误差角(°)</t>
  </si>
  <si>
    <t>最大射程</t>
  </si>
  <si>
    <t>满伤射程</t>
  </si>
  <si>
    <t>末端系数(0~1)</t>
  </si>
  <si>
    <t>枪托伤下</t>
  </si>
  <si>
    <t>枪托伤上</t>
  </si>
  <si>
    <t>枪托间隔</t>
  </si>
  <si>
    <t>枪托穿透</t>
  </si>
  <si>
    <t>备注</t>
  </si>
  <si>
    <t>有效冷却(秒)</t>
  </si>
  <si>
    <t>循环时长(秒)</t>
  </si>
  <si>
    <t>有效攻速(发/秒)</t>
  </si>
  <si>
    <t>平均伤害(裸)</t>
  </si>
  <si>
    <t>裸DPS</t>
  </si>
  <si>
    <t>距离衰减系数</t>
  </si>
  <si>
    <t>命中率</t>
  </si>
  <si>
    <t>单层期望伤害</t>
  </si>
  <si>
    <t>多层期望伤害</t>
  </si>
  <si>
    <t>期望DPS</t>
  </si>
  <si>
    <t>单层·适用防御</t>
  </si>
  <si>
    <t>单层·Dm</t>
  </si>
  <si>
    <t>多层外·适用防御</t>
  </si>
  <si>
    <t>多层外·Dm</t>
  </si>
  <si>
    <t>多层外·E</t>
  </si>
  <si>
    <t>多层内·适用防御</t>
  </si>
  <si>
    <t>多层内·Dm</t>
  </si>
  <si>
    <t>重量(kg)·拟定待用户定</t>
  </si>
  <si>
    <t>弹丸数(颗)</t>
  </si>
  <si>
    <t>弹药类型(短/中/长子弹·鹿弹·箭·—)</t>
  </si>
  <si>
    <t>每次射击耗弹(发)</t>
  </si>
  <si>
    <t>噪音半径(像素)</t>
  </si>
  <si>
    <t>砸墙系数(锤子高/刀刃低；枪=按枪托算)</t>
  </si>
  <si>
    <t>匕首</t>
  </si>
  <si>
    <t>近战锐器，穿透9%，可双持</t>
  </si>
  <si>
    <t>否</t>
  </si>
  <si>
    <t>单手</t>
  </si>
  <si>
    <t>锐</t>
  </si>
  <si>
    <t>可双持</t>
  </si>
  <si>
    <t>—</t>
  </si>
  <si>
    <t>短剑</t>
  </si>
  <si>
    <t>近战锐器，穿透12%</t>
  </si>
  <si>
    <t>刺剑</t>
  </si>
  <si>
    <t>单手突刺，区间窄穿透略高，可双持</t>
  </si>
  <si>
    <t>长剑</t>
  </si>
  <si>
    <t>近战锐器，穿透18%，双手</t>
  </si>
  <si>
    <t>双手</t>
  </si>
  <si>
    <t>草叉</t>
  </si>
  <si>
    <t>双手农具多齿突刺</t>
  </si>
  <si>
    <t>重剑</t>
  </si>
  <si>
    <t>近战锐器，穿透24%，双手</t>
  </si>
  <si>
    <t>棍棒</t>
  </si>
  <si>
    <t>近战钝器，穿透3%</t>
  </si>
  <si>
    <t>钝</t>
  </si>
  <si>
    <t>尖头锤</t>
  </si>
  <si>
    <t>近战钝器，穿透5%</t>
  </si>
  <si>
    <t>破甲锤</t>
  </si>
  <si>
    <t>近战钝器，穿透35%(破甲专精)，重型双手</t>
  </si>
  <si>
    <t>自制猎枪</t>
  </si>
  <si>
    <t>远程锐器，双手长枪，穿透25%；玩家唯一能自己制作的枪（配方：卡尺精工+《土法化学笔记》）</t>
  </si>
  <si>
    <t>是</t>
  </si>
  <si>
    <t>可制作（配方 improvised_hunting_gun：金属锭2+木料2+机械零件2，工时240分）</t>
  </si>
  <si>
    <t>中子弹</t>
  </si>
  <si>
    <t>手枪</t>
  </si>
  <si>
    <t>远程锐器，穿透15%，可双持</t>
  </si>
  <si>
    <t>短子弹</t>
  </si>
  <si>
    <t>冲锋枪</t>
  </si>
  <si>
    <t>远程锐器，三连发，双手抵肩</t>
  </si>
  <si>
    <t>可双持;三连发</t>
  </si>
  <si>
    <t>步枪</t>
  </si>
  <si>
    <t>军用远程锐器，穿透21%，双手抵肩</t>
  </si>
  <si>
    <t>栓动猎枪</t>
  </si>
  <si>
    <t>民用远程锐器，栓动慢冷却，数值介于步枪与土制枪</t>
  </si>
  <si>
    <t>新增</t>
  </si>
  <si>
    <t>狙击枪</t>
  </si>
  <si>
    <t>远程锐器，穿透70%，碾压多层甲</t>
  </si>
  <si>
    <t>弹药稀缺约束</t>
  </si>
  <si>
    <t>长子弹</t>
  </si>
  <si>
    <t>自制霰弹枪</t>
  </si>
  <si>
    <t>远程锐器，双手；**8 颗弹丸单独计算**（每颗独立选命中部位、独立过护甲三段判定）。穿透仅10% + 单颗低伤 ⇒ 布甲挡下相当一部分、板甲几乎全挡；对无甲/薄衣（丧尸）极强。射程最短、衰减最重、锥形扩散最大——贴脸毁灭性，拉开距离只剩零星几颗命中。</t>
  </si>
  <si>
    <t>可制作（废金属4＋木料2＋机械零件1＋火药1，需卡尺工作台＋读过《土法化学笔记》，工时100分）；吃「霰弹」弹药，一次扣扳机烧掉 1 发壳（不是 8 发）</t>
  </si>
  <si>
    <t>鹿弹</t>
  </si>
  <si>
    <t>短弓</t>
  </si>
  <si>
    <t>入门弓，可制作（木料2+绳1，卡尺+《木匠入门》，120工时）。承接原「自制弓」配方。全部弓里最弱，但最便宜、出手最快</t>
  </si>
  <si>
    <t>吃箭。贴脸无近战兜底</t>
  </si>
  <si>
    <t>箭</t>
  </si>
  <si>
    <t>反曲弓</t>
  </si>
  <si>
    <t>可制作。标准均衡款——弓臂反曲，同样长度多出几分力道</t>
  </si>
  <si>
    <t>长弓</t>
  </si>
  <si>
    <t>可制作。**射程之王**（480，全弓弩最远），代价是拉满费时</t>
  </si>
  <si>
    <t>可制作（废金属3＋木料2＋机械零件1，需卡尺工作台＋读过《土法化学笔记》，工时150分——全表最好造的枪：就是一根钢管加击针，不用熔炼金属锭）；吃「霰弹」弹药，一次扣扳机烧掉 1 发壳（不是 8 发）</t>
  </si>
  <si>
    <t>竞技复合弓</t>
  </si>
  <si>
    <t>**不可制作，只能搜刮**（超市运动区）。**精度之王**（误差角1.5°，比步枪2°还准）。冷却经 Sim 重标定 3.0→3.6：3.0s 时它的DPS反超了「伤害之王」狩猎弓，生态位名不副实——竞技弓的卖点是准，不是快</t>
  </si>
  <si>
    <t>狩猎弓</t>
  </si>
  <si>
    <t>**不可制作，只能搜刮**（守林人小屋/河边小屋枪柜）。**伤害之王**（上限38，全弓弩最高）</t>
  </si>
  <si>
    <t>单手轻弩</t>
  </si>
  <si>
    <t>可制作。**唯一单手弓弩、可双持**。扣扳机像开枪一样容易，麻烦的是上弦——弱、慢，但准</t>
  </si>
  <si>
    <t>吃箭。可双持。贴脸无近战兜底</t>
  </si>
  <si>
    <t>双手重弩</t>
  </si>
  <si>
    <t>可制作。穿透65%（仅次复合弩/狙击枪），冷却6.0s＝**全表最慢**——每分钟只能得罪一个人</t>
  </si>
  <si>
    <t>复合弩</t>
  </si>
  <si>
    <t>**不可制作，只能搜刮**（金手指帮根据地）。弩的天花板：**破甲之王**（68%），又准又狠</t>
  </si>
  <si>
    <t>爪击(丧尸)</t>
  </si>
  <si>
    <t>天生近战锐器，穿透5%</t>
  </si>
  <si>
    <t>天生武器</t>
  </si>
  <si>
    <t>撕咬(布鲁斯)</t>
  </si>
  <si>
    <t>一口尖牙，咬住了就不松口——布鲁斯拖住敌人，剩下的交给道格。</t>
  </si>
  <si>
    <t>布鲁斯的天生武器，玩家不可穿脱</t>
  </si>
  <si>
    <t>箭矢表 —— 「箭的类型反过来修改弓的属性」：最终属性 = 弓/弩的基础属性 × 这里的倍率</t>
  </si>
  <si>
    <t>倍率读法：伤害/穿透/射程 —— 大于1更好；冷却/散布 —— **大于1更差**（冷却长＝攻速慢，散布大＝更不准）。弓和弩共用这4种箭。数值皆「拟定待调」，改这里即可。</t>
  </si>
  <si>
    <t>箭名</t>
  </si>
  <si>
    <t>可制作?</t>
  </si>
  <si>
    <t>伤害倍率</t>
  </si>
  <si>
    <t>破甲倍率</t>
  </si>
  <si>
    <t>射程倍率</t>
  </si>
  <si>
    <t>冷却倍率(&gt;1更慢)</t>
  </si>
  <si>
    <t>散布倍率(&gt;1更不准)</t>
  </si>
  <si>
    <t>配方</t>
  </si>
  <si>
    <t>获取</t>
  </si>
  <si>
    <t>风味描述</t>
  </si>
  <si>
    <t>id(勿改)</t>
  </si>
  <si>
    <t>削尖的木箭</t>
  </si>
  <si>
    <t>可制作</t>
  </si>
  <si>
    <t>木料1 → **3支**（无工具槽、无书门槛，开局即可做，20工时）</t>
  </si>
  <si>
    <t>制作/搜刮</t>
  </si>
  <si>
    <t>一根削尖的木棍，勉强算箭。它会飞，也会中，就是别指望它飞直，或者中得深。</t>
  </si>
  <si>
    <t>ammo_arrow_stick</t>
  </si>
  <si>
    <t>自制箭</t>
  </si>
  <si>
    <t>木料2+废金属1+布1 → **4支**（卡尺槽，45工时）</t>
  </si>
  <si>
    <t>木杆、铁头、布尾羽，手工出品。称不上精良，但每一支都长得一样——对一个弓手来说，这比精良更要紧。</t>
  </si>
  <si>
    <t>ammo_arrow_handmade</t>
  </si>
  <si>
    <t>重头箭</t>
  </si>
  <si>
    <t>木料2+金属锭1 → **3支**（卡尺槽，60工时）</t>
  </si>
  <si>
    <t>箭头灌了铅，沉得手腕发酸。飞不远，抬手也慢，但扎上去的时候，护甲的意见就不太重要了。</t>
  </si>
  <si>
    <t>ammo_arrow_heavy</t>
  </si>
  <si>
    <t>碳纤维箭</t>
  </si>
  <si>
    <t>不可制作</t>
  </si>
  <si>
    <t>—— 没有配方 ——</t>
  </si>
  <si>
    <t>只能搜刮（超市/守林人小屋/金手指帮/河边小屋）</t>
  </si>
  <si>
    <t>碳纤维箭杆，笔直、轻盈、贵得离谱。工厂早就停工了，用一支少一支——所以射出去之后，你一定会回去把它捡起来。</t>
  </si>
  <si>
    <t>ammo_arrow_carbon</t>
  </si>
  <si>
    <t>说明</t>
  </si>
  <si>
    <t>· 「自制箭」是基线（倍率全 1.00）。看表时以它为原点：其它三种箭是相对它好多少、差多少。</t>
  </si>
  <si>
    <t>· 「重头箭」是用户唯一明确的一条：破甲更高，但射程和攻速削弱。三个方向已钉死在测试里，改数值不会改方向。</t>
  </si>
  <si>
    <t>· 「碳纤维箭」四项全优、还更准——它的代价不是数值，是**稀缺**：没有配方，只能搜刮，用一支少一支。</t>
  </si>
  <si>
    <t>· **箭可以捡回来，但只有一部分**：基础 **25%**（射四支只捡回一支）；读过《弓与箭之道》后 **50%**。—— 你拍板的数。</t>
  </si>
  <si>
    <t>· 叠乘保护：穿透最高封顶 95%（挡住「复合弩×重头箭＝98.6%」这种无视一切护甲的组合）；散布角最低 0.5°（没有绝对精准的弓）。</t>
  </si>
  <si>
    <t>· 伤害**下限恒为 1**，不吃箭的修正——这是全仓的近战锐器通则（箭是「飞出去的刀」，斜面掠射、擦过划一道口子是常态）。箭的好坏体现在**上限**。</t>
  </si>
  <si>
    <t>重头箭为什么改过一次数（Sim 实测）</t>
  </si>
  <si>
    <t>· 初版取 伤害×1.20 / 冷却×1.25，Sim 实测重头箭**在每一列都输给自制箭**（打重甲 −2~−4.5pp）——「破甲更高」专不起来，成了纯劣化。</t>
  </si>
  <si>
    <t>· 根因：本作里**穿透是低杠杆轴**（能不能击穿甲，主要由伤害骰决定，穿透只压低护甲的防御骰上限）。所以「破甲×1.45」几乎买不到胜率，而「冷却×1.25」是实打实的 −20% 输出。</t>
  </si>
  <si>
    <t>· 修法：把收益挪到吃得上劲的轴上 —— 伤害×1.35、冷却惩罚收窄到×1.15。**你给的三个方向（破甲↑/射程↓/攻速↓）一个没动，动的只是幅度。**</t>
  </si>
  <si>
    <t>· 改完实测：打丧尸 +0.0~+2.3pp（基本持平）、打中甲 +0.9~+9.0pp、打重甲 +2.7~+10.0pp —— **收益随甲的厚度单调上升**，这才是破甲专精。</t>
  </si>
  <si>
    <t>· 它真正的代价落在模拟器量不到的两处：**射程 −25%**（要靠近才打得到）与**造价**（吃金属锭，比自制箭的废金属贵一档）。</t>
  </si>
  <si>
    <t>箭矢回收率（你拍板的）</t>
  </si>
  <si>
    <t>· 基础 **25%** —— 射出四支，只捡回一支。**弓弩不是免费远程**，它只是后勤压力小于枪（箭不吃子弹零件，且至少还捡得回一部分）。</t>
  </si>
  <si>
    <t>· 读过《**弓与箭之道**》后 **50%** —— 正好翻倍。每支箭的期望射击次数从 1.33 次拉到 2.00 次（+50%）。一筒 20 支箭：能射 27 箭 → 40 箭。</t>
  </si>
  <si>
    <t>· 判定是**逐支箭独立**掷点的（不是一次射击整体判定）。射出去的是一支支箭，崩断与否本就该一支支算。</t>
  </si>
  <si>
    <t>· 《弓与箭之道》**不可制作，只能搜刮**：全局唯一一本，在**守林人小屋·床底**。它是弓弩流的**硬前置**——找不到它，你养不起一个弓手。</t>
  </si>
  <si>
    <t>· 配套：箭的造价刻意**不低**（除应急木箭外，每支都要吃金属）。若造箭近乎白送，「跑回战场把箭捡回来」就不值得冒险，回收率这条机制也就白设计了。</t>
  </si>
  <si>
    <t>参数区（这里的数一改，整张武器表跟着变）</t>
  </si>
  <si>
    <t>护甲预设（可调；默认取『护甲表』现值）</t>
  </si>
  <si>
    <t>单层甲 · 挡锐器</t>
  </si>
  <si>
    <t>算单层甲时用。默认＝皮甲的挡锐器值</t>
  </si>
  <si>
    <t>单层甲 · 挡钝器</t>
  </si>
  <si>
    <t>默认＝皮甲的挡钝器值</t>
  </si>
  <si>
    <t>多层甲 · 外层挡锐器</t>
  </si>
  <si>
    <t>算多层甲的外层。默认＝皮甲(外套)</t>
  </si>
  <si>
    <t>多层甲 · 外层挡钝器</t>
  </si>
  <si>
    <t>多层甲 · 内层挡锐器</t>
  </si>
  <si>
    <t>算多层甲的内层。默认＝贴身布衣的挡锐器值</t>
  </si>
  <si>
    <t>多层甲 · 内层挡钝器</t>
  </si>
  <si>
    <t>默认＝贴身布衣的挡钝器值</t>
  </si>
  <si>
    <t>命中率 / 距离 参数</t>
  </si>
  <si>
    <t>评估距离</t>
  </si>
  <si>
    <t>远程的命中率和距离掉伤都按这个距离算；近战不受影响</t>
  </si>
  <si>
    <t>目标大小</t>
  </si>
  <si>
    <t>按人的身宽估的目标大小，算命中率用(具体尺度待定)</t>
  </si>
  <si>
    <t>不是武器发出的声音——人本身发出的声音</t>
  </si>
  <si>
    <t>行为</t>
  </si>
  <si>
    <t>谁会做</t>
  </si>
  <si>
    <t>这个数是怎么定的</t>
  </si>
  <si>
    <t>走路（人）</t>
  </si>
  <si>
    <t>玩家、队友、劫掠者、丧尸——所有人</t>
  </si>
  <si>
    <t>必须小于 70（丧尸闻得到你的距离），否则你一迈腿就把周围全招来，地图根本没法走。40 的意思是：只有已经快贴到你脸上的敌人才听得见你的脚步。</t>
  </si>
  <si>
    <t>走路（布鲁斯）</t>
  </si>
  <si>
    <t>狗</t>
  </si>
  <si>
    <t>四只软肉垫，体重不到人的四分之一。所以放布鲁斯出去探路比自己去安全得多。</t>
  </si>
  <si>
    <t>砸门 / 砸围栏</t>
  </si>
  <si>
    <t>袭营的劫掠者和丧尸（进不来就砸）</t>
  </si>
  <si>
    <t>抡着家伙砸木头铁皮，动静盖过任何一次挥砍（最响的破甲锤才 150）。有意思的是：劫掠者砸你家大门的时候，会把附近闲逛的丧尸一起招过来——他们自己制造的动静会反噬他们。</t>
  </si>
  <si>
    <t>开门</t>
  </si>
  <si>
    <t>玩家（推门进屋）、劫掠者（路过顺手开门）</t>
  </si>
  <si>
    <t>一扇旧门被推开的吱呀和碰撞。100 &gt; 丧尸闻得到你的距离(70) —— 意思是**你推开一扇门，附近闲逛的东西听得见**。这正是撬锁存在的意义。</t>
  </si>
  <si>
    <t>撬锁</t>
  </si>
  <si>
    <t>玩家（要有铁丝）</t>
  </si>
  <si>
    <t>**全表最轻的声音，比走路(40)还轻**。30 &lt; 丧尸的鼻子(70) ⇒ 撬锁本身谁也惊动不了。这是它存在的全部理由：撬锁买的是寂静，付的是时间（一把结实的锁要撬半分钟，还费铁丝）。锁着的门你有两个选择——撬(30，慢而静) 还是砸(180，快而全场皆知)。</t>
  </si>
  <si>
    <t>走多远响一声</t>
  </si>
  <si>
    <t>——</t>
  </si>
  <si>
    <t>走路是一直在走的，不可能每一帧都出声（那样电脑会卡死）。改成「每走过 48 像素响一声」——以人的走速算，大约每半秒一声。站着不动完全不出声；被拖慢了脚步自动变稀；跑得快脚步自动变密。</t>
  </si>
  <si>
    <t>铁律（破了游戏就不好玩了）：走路(40) &lt; 弓弩(50~70) &lt; 近战(90~150) ≪ 枪(350~700)。尤其是「近战不能比弓还静」——不然远远一箭放倒就没有意义了，弓白做。</t>
  </si>
  <si>
    <t>谁听得见你发出的声音？（两种声音，规矩不一样）</t>
  </si>
  <si>
    <t>哪种声音</t>
  </si>
  <si>
    <t>包含</t>
  </si>
  <si>
    <t>谁会被引过来</t>
  </si>
  <si>
    <t>为什么这么定</t>
  </si>
  <si>
    <t>打斗的动静</t>
  </si>
  <si>
    <t>开枪、砍人、丧尸抓你、狗咬人、砸门、开门、撬锁</t>
  </si>
  <si>
    <t>**附近所有闲着的敌人，不管是谁在打谁**</t>
  </si>
  <si>
    <t>打斗的惨叫和撞击，谁听见都会过来看。**所以被围住就真的会滚雪球**：丧尸抓你的动静，会把别的丧尸也引过来。你砍得越久，来的越多。</t>
  </si>
  <si>
    <t>脚步声</t>
  </si>
  <si>
    <t>走路（人 40 / 布鲁斯 25）</t>
  </si>
  <si>
    <t>只有**跟你敌对**的会过来</t>
  </si>
  <si>
    <t>脚步是一直在响的。如果脚步也不分敌我，丧尸就会被彼此的脚步声互相吸引，越聚越紧，最后挤成一坨在原地打转。所以脚步只招敌人。</t>
  </si>
  <si>
    <t>⚠️ 但是：**你自己的人（幸存者和布鲁斯）永远不会被任何声音牵着走**。声音只指挥敌人，不指挥你——你的人只听你的。</t>
  </si>
  <si>
    <t>武器表 · 使用说明</t>
  </si>
  <si>
    <t>怎么看这张表 / 每列什么意思</t>
  </si>
  <si>
    <t>这表干嘛的</t>
  </si>
  <si>
    <t>算每把武器打出多少输出，方便你横向比、调数值。你只填蓝色格子，绿色格子会自动算出来。所有数字都是暂定，边调边用模拟器拉表校准。</t>
  </si>
  <si>
    <t>颜色什么意思</t>
  </si>
  <si>
    <t>蓝色＝你填的输入列；绿色＝自动算的结果(别改)；灰色＝中间过程量(用不上可以折叠起来)。</t>
  </si>
  <si>
    <t>怎么用</t>
  </si>
  <si>
    <t>只改蓝色输入列。连发枪(比如冲锋枪)要填『连发数』和『连发内间隔』；单发枪这两格留空就行。护甲、距离、目标大小在『参数区』那张表统一调，改一处、整张表跟着变。</t>
  </si>
  <si>
    <t>重量列(新增)</t>
  </si>
  <si>
    <t>武器表最右加了『重量(kg)』列——背着多重也很重要。游戏里武器还没设重量，所以这列现在全是暂定值，你随手填、我们再填回游戏。这列不参与任何输出计算，填错也不影响别的数。</t>
  </si>
  <si>
    <t>出手快慢</t>
  </si>
  <si>
    <t>实际冷却＝冷却÷持握加成：双手拿更快、左右各一把(双持)最快、单手正常。因为背太重/受伤/挨饿导致的变慢，这张表没算进去。</t>
  </si>
  <si>
    <t>伤害怎么结算</t>
  </si>
  <si>
    <t>一次攻击：进攻方掷一个伤害，护甲掷一个防御。赢了＝全额伤害；打平手＝只进一半(还会由锐器转成钝器)；被挡下＝这层没伤。有好几层甲就一层层往里判。</t>
  </si>
  <si>
    <t>能不能打中</t>
  </si>
  <si>
    <t>远程：离得越远、枪越散，越难打中；近战默认必中。这里只是个简化估算，真实弹道以游戏里为准。</t>
  </si>
  <si>
    <t>远了会不会掉伤</t>
  </si>
  <si>
    <t>近处满伤；超过『满伤射程』开始往下掉；超过『最大射程』就够不着了。</t>
  </si>
  <si>
    <t>两个DPS区别</t>
  </si>
  <si>
    <t>『裸DPS』是贴脸、满伤、对方没甲时的上限，纯拿来横向比；『综合DPS』把护甲、命中、距离都算进去，最接近实战表现。</t>
  </si>
  <si>
    <t>枪托砸</t>
  </si>
  <si>
    <t>贴脸时枪会被逼成拿枪托砸(必中的钝击)。带『枪托』字样那几列只有远程枪要填，供参考。</t>
  </si>
  <si>
    <t>这表没管的</t>
  </si>
  <si>
    <t>流血/骨折/切除这些打中之后才发生的事，不在这张表里；这表只算武器本身的基础输出。</t>
  </si>
  <si>
    <t>数字都是暂定</t>
  </si>
  <si>
    <t>表里所有数值都是先填着、边测边调的。要你拍板的是玩法形态；具体大小靠模拟器拉表校准。</t>
  </si>
  <si>
    <t>噪音半径</t>
  </si>
  <si>
    <t>做一件事会把多远以内、当时没在追人的敌人引过来「看一眼」——丧尸和劫掠者都听得见（玩家的人不吃这套，不会被声音牵着走)。已经在追你的敌人不会被别处的声音带走。声音不挡墙(会绕会穿)。</t>
  </si>
  <si>
    <t>有声音的不只是打架</t>
  </si>
  <si>
    <t>走路 40、撬锁 30、开门 100、砍人/开枪看这张表、砸门砸围栏 180。一扇锁着的门有两种开法：撬(30，最轻的声音，但慢、还费铁丝) 或 砸(180，快，但全场都听得见)。详见『行为噪音』那一页。</t>
  </si>
  <si>
    <t>看噪音看两个数</t>
  </si>
  <si>
    <t>①丧尸能闻到你的距离是 70。②丧尸夜里能看见你的距离大约 219。绿格(≤70)＝声音传不出丧尸的鼻子，等于白送：听得见的本来就闻得到你。黄格(70~219)＝会招来附近闲逛的。红格(&gt;219)＝把你根本看不见的、屏幕外的都拽过来。</t>
  </si>
  <si>
    <t>排序是玩法的骨架</t>
  </si>
  <si>
    <t>走路(40，最轻) &lt; 弓弩(50~70，几乎不额外招怪) &lt; 近战(90~150，砍人是有动静的) &lt;&lt; 枪(350~700，招一片)。弓比最静的近战(匕首90)还静——这就是弓存在的意义：远远一箭放倒，好过凑上去砍出一堆响动。</t>
  </si>
  <si>
    <t>近战之间也有差别</t>
  </si>
  <si>
    <t>越沉、挥得越大、越砸甲就越响：匕首 90(最静，短促捅刺) → 长剑 120 → 重剑 135 → 破甲锤 150(最响，砸铁皮当当作响)。</t>
  </si>
  <si>
    <t>怎么调</t>
  </si>
  <si>
    <t>想让某把武器更适合潜行，就把噪音调小(往 70 以下靠)；想让它更吵就调大(往 219 以上拉)。数值都是暂定的，随便改。</t>
  </si>
  <si>
    <t>谁听得见（两种声音不一样）</t>
  </si>
  <si>
    <t>**打斗的动静(开枪/砍人/爪击/撕咬/砸门/开门)不分敌我**——谁听见都会过来看，所以被围住就真的会滚雪球：丧尸抓你的动静会把别的丧尸也引来。**只有脚步声分敌我**（只招敌人）——否则丧尸会被彼此的脚步互相吸引、挤成一坨。⚠️ 你自己的人（幸存者和布鲁斯）**永远不会被任何声音牵着走**，只听你的指令。</t>
  </si>
  <si>
    <t>砸墙系数(新增)</t>
  </si>
  <si>
    <t>这一格管的是：拿这件家伙去砸围栏/大门/门板，一下能砸掉多少。砸墙伤害＝这把武器的平均伤害 × 这个系数。锤子砸墙就该狠(破甲锤 2.0，全表最强破门)；刀刃砍墙是白费劲(匕首 0.4)；射箭砸墙最徒劳(弓弩 0.1，全表最低)。墙没有护甲、不分部位、不吃穿透——它只有一个血条，所以打人的那套数值搬到墙上没意义。</t>
  </si>
  <si>
    <t>枪怎么砸墙</t>
  </si>
  <si>
    <t>枪不是拿来轰墙的——子弹打不穿承重墙。贴到墙上时它是抡枪托砸，所以枪那一行的系数作用在『枪托伤害』上(不是子弹伤害)。于是持枪的敌人破门比拿匕首的快，但远不如拿把锤子。</t>
  </si>
  <si>
    <t>丧尸砸墙</t>
  </si>
  <si>
    <t>丧尸那行(爪击)系数 2.5，比别的锐器高得多——它砸墙不是用爪尖划，是整只扑上去撞、扒、咬。每爪 7.5 点，砸穿一扇基础大门要 78 秒。想让它恢复以前更快的手感，把这格调到 4.0。</t>
  </si>
  <si>
    <t>这格留空会怎样</t>
  </si>
  <si>
    <t>留空＝按伤害类型兜底：钝的 1.2、锐的 0.4。不会变成砸不动墙。</t>
  </si>
  <si>
    <t>一群丧尸砸门要多久</t>
  </si>
  <si>
    <t>别拿"8 只丧尸一起砸"的数字调平衡——丧尸有碰撞体积、爪击是近战距离，一扇门前只挤得下 3~4 只能真打到门，后面的够不着。按实际口径：一波丧尸(一线 4 只)砸穿基础大门 21 秒、砸穿顶格的浇筑大门 62 秒，来 8 只还是 80 只都一样(挤不进来)。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</si>
</sst>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0"/>
      <name val="宋体"/>
      <charset val="134"/>
      <scheme val="minor"/>
    </font>
    <font>
      <b/>
      <sz val="13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C00000"/>
      <name val="宋体"/>
      <charset val="134"/>
      <scheme val="minor"/>
    </font>
    <font>
      <b/>
      <sz val="12"/>
      <name val="宋体"/>
      <charset val="134"/>
      <scheme val="minor"/>
    </font>
    <font>
      <b/>
      <sz val="10"/>
      <color rgb="FFFFFFFF"/>
      <name val="宋体"/>
      <charset val="134"/>
      <scheme val="minor"/>
    </font>
    <font>
      <sz val="9"/>
      <color rgb="FF80808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6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7" borderId="5" applyNumberFormat="0" applyAlignment="0" applyProtection="0">
      <alignment vertical="center"/>
    </xf>
    <xf numFmtId="0" fontId="19" fillId="18" borderId="6" applyNumberFormat="0" applyAlignment="0" applyProtection="0">
      <alignment vertical="center"/>
    </xf>
    <xf numFmtId="0" fontId="20" fillId="18" borderId="5" applyNumberFormat="0" applyAlignment="0" applyProtection="0">
      <alignment vertical="center"/>
    </xf>
    <xf numFmtId="0" fontId="21" fillId="19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27" fillId="46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1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5" borderId="1" xfId="0" applyFont="1" applyFill="1" applyBorder="1"/>
    <xf numFmtId="0" fontId="6" fillId="0" borderId="0" xfId="0" applyFont="1"/>
    <xf numFmtId="0" fontId="4" fillId="6" borderId="0" xfId="0" applyFont="1" applyFill="1"/>
    <xf numFmtId="0" fontId="4" fillId="4" borderId="0" xfId="0" applyFont="1" applyFill="1"/>
    <xf numFmtId="0" fontId="4" fillId="7" borderId="0" xfId="0" applyFont="1" applyFill="1"/>
    <xf numFmtId="2" fontId="0" fillId="4" borderId="0" xfId="0" applyNumberFormat="1" applyFill="1"/>
    <xf numFmtId="0" fontId="0" fillId="7" borderId="0" xfId="0" applyFill="1"/>
    <xf numFmtId="0" fontId="4" fillId="0" borderId="0" xfId="0" applyFont="1"/>
    <xf numFmtId="0" fontId="7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9" borderId="0" xfId="0" applyFont="1" applyFill="1"/>
    <xf numFmtId="0" fontId="7" fillId="3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top" wrapText="1"/>
    </xf>
    <xf numFmtId="2" fontId="0" fillId="11" borderId="1" xfId="0" applyNumberFormat="1" applyFill="1" applyBorder="1"/>
    <xf numFmtId="2" fontId="8" fillId="12" borderId="1" xfId="0" applyNumberFormat="1" applyFont="1" applyFill="1" applyBorder="1"/>
    <xf numFmtId="0" fontId="0" fillId="4" borderId="1" xfId="0" applyFill="1" applyBorder="1" applyAlignment="1">
      <alignment horizontal="center" vertical="center" wrapText="1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472C4"/>
  </sheetPr>
  <dimension ref="A1:AQ28"/>
  <sheetViews>
    <sheetView workbookViewId="0">
      <pane xSplit="2" ySplit="2" topLeftCell="C3" activePane="bottomRight" state="frozen"/>
      <selection/>
      <selection pane="topRight"/>
      <selection pane="bottomLeft"/>
      <selection pane="bottomRight" activeCell="A1" sqref="A1:T1"/>
    </sheetView>
  </sheetViews>
  <sheetFormatPr defaultColWidth="9" defaultRowHeight="16.8"/>
  <cols>
    <col min="1" max="1" width="12" customWidth="1"/>
    <col min="2" max="2" width="28" customWidth="1"/>
    <col min="3" max="3" width="11" customWidth="1"/>
    <col min="4" max="4" width="16" customWidth="1"/>
    <col min="5" max="6" width="9" customWidth="1"/>
    <col min="7" max="7" width="10" customWidth="1"/>
    <col min="8" max="8" width="13" customWidth="1"/>
    <col min="9" max="9" width="10" customWidth="1"/>
    <col min="10" max="10" width="8" customWidth="1"/>
    <col min="11" max="11" width="12" customWidth="1"/>
    <col min="12" max="14" width="10" customWidth="1"/>
    <col min="15" max="15" width="12" customWidth="1"/>
    <col min="16" max="19" width="9" customWidth="1"/>
    <col min="20" max="20" width="20" customWidth="1"/>
    <col min="21" max="22" width="11" customWidth="1"/>
    <col min="23" max="23" width="13" customWidth="1"/>
    <col min="24" max="24" width="12" customWidth="1"/>
    <col min="25" max="25" width="10" customWidth="1"/>
    <col min="26" max="26" width="12" customWidth="1"/>
    <col min="27" max="27" width="10" customWidth="1"/>
    <col min="28" max="29" width="12" customWidth="1"/>
    <col min="30" max="30" width="11" customWidth="1"/>
    <col min="31" max="31" width="12" customWidth="1" outlineLevel="1"/>
    <col min="32" max="32" width="10" customWidth="1" outlineLevel="1"/>
    <col min="33" max="33" width="13" customWidth="1" outlineLevel="1"/>
    <col min="34" max="35" width="10" customWidth="1" outlineLevel="1"/>
    <col min="36" max="36" width="13" customWidth="1" outlineLevel="1"/>
    <col min="37" max="37" width="10" customWidth="1" outlineLevel="1"/>
    <col min="38" max="38" width="18" customWidth="1"/>
    <col min="39" max="39" width="12" customWidth="1"/>
    <col min="40" max="40" width="28" customWidth="1"/>
    <col min="41" max="41" width="18" customWidth="1"/>
    <col min="42" max="42" width="15" customWidth="1"/>
    <col min="43" max="43" width="30" customWidth="1"/>
  </cols>
  <sheetData>
    <row r="1" ht="18" customHeight="1" spans="1:43">
      <c r="A1" s="21" t="s">
        <v>0</v>
      </c>
      <c r="U1" s="22" t="s">
        <v>1</v>
      </c>
      <c r="AE1" s="23" t="s">
        <v>2</v>
      </c>
      <c r="AL1" s="24" t="s">
        <v>3</v>
      </c>
      <c r="AM1" s="25" t="s">
        <v>4</v>
      </c>
      <c r="AN1" s="25" t="s">
        <v>5</v>
      </c>
      <c r="AO1" s="25" t="s">
        <v>6</v>
      </c>
      <c r="AP1" s="25" t="s">
        <v>7</v>
      </c>
      <c r="AQ1" s="25" t="s">
        <v>8</v>
      </c>
    </row>
    <row r="2" ht="30" customHeight="1" spans="1:43">
      <c r="A2" s="26" t="s">
        <v>9</v>
      </c>
      <c r="B2" s="26" t="s">
        <v>10</v>
      </c>
      <c r="C2" s="26" t="s">
        <v>11</v>
      </c>
      <c r="D2" s="26" t="s">
        <v>12</v>
      </c>
      <c r="E2" s="26" t="s">
        <v>13</v>
      </c>
      <c r="F2" s="26" t="s">
        <v>14</v>
      </c>
      <c r="G2" s="26" t="s">
        <v>15</v>
      </c>
      <c r="H2" s="26" t="s">
        <v>16</v>
      </c>
      <c r="I2" s="26" t="s">
        <v>17</v>
      </c>
      <c r="J2" s="26" t="s">
        <v>18</v>
      </c>
      <c r="K2" s="26" t="s">
        <v>19</v>
      </c>
      <c r="L2" s="26" t="s">
        <v>20</v>
      </c>
      <c r="M2" s="26" t="s">
        <v>21</v>
      </c>
      <c r="N2" s="26" t="s">
        <v>22</v>
      </c>
      <c r="O2" s="26" t="s">
        <v>23</v>
      </c>
      <c r="P2" s="26" t="s">
        <v>24</v>
      </c>
      <c r="Q2" s="26" t="s">
        <v>25</v>
      </c>
      <c r="R2" s="26" t="s">
        <v>26</v>
      </c>
      <c r="S2" s="26" t="s">
        <v>27</v>
      </c>
      <c r="T2" s="26" t="s">
        <v>28</v>
      </c>
      <c r="U2" s="27" t="s">
        <v>29</v>
      </c>
      <c r="V2" s="27" t="s">
        <v>30</v>
      </c>
      <c r="W2" s="27" t="s">
        <v>31</v>
      </c>
      <c r="X2" s="27" t="s">
        <v>32</v>
      </c>
      <c r="Y2" s="27" t="s">
        <v>33</v>
      </c>
      <c r="Z2" s="27" t="s">
        <v>34</v>
      </c>
      <c r="AA2" s="27" t="s">
        <v>35</v>
      </c>
      <c r="AB2" s="27" t="s">
        <v>36</v>
      </c>
      <c r="AC2" s="27" t="s">
        <v>37</v>
      </c>
      <c r="AD2" s="27" t="s">
        <v>38</v>
      </c>
      <c r="AE2" s="28" t="s">
        <v>39</v>
      </c>
      <c r="AF2" s="28" t="s">
        <v>40</v>
      </c>
      <c r="AG2" s="28" t="s">
        <v>41</v>
      </c>
      <c r="AH2" s="28" t="s">
        <v>42</v>
      </c>
      <c r="AI2" s="28" t="s">
        <v>43</v>
      </c>
      <c r="AJ2" s="28" t="s">
        <v>44</v>
      </c>
      <c r="AK2" s="28" t="s">
        <v>45</v>
      </c>
      <c r="AL2" s="26" t="s">
        <v>46</v>
      </c>
      <c r="AM2" s="26" t="s">
        <v>47</v>
      </c>
      <c r="AN2" s="26" t="s">
        <v>48</v>
      </c>
      <c r="AO2" s="26" t="s">
        <v>49</v>
      </c>
      <c r="AP2" s="26" t="s">
        <v>50</v>
      </c>
      <c r="AQ2" s="26" t="s">
        <v>51</v>
      </c>
    </row>
    <row r="3" ht="17" spans="1:43">
      <c r="A3" s="29" t="s">
        <v>52</v>
      </c>
      <c r="B3" s="30" t="s">
        <v>53</v>
      </c>
      <c r="C3" s="29" t="s">
        <v>54</v>
      </c>
      <c r="D3" s="29" t="s">
        <v>55</v>
      </c>
      <c r="E3" s="29">
        <v>1</v>
      </c>
      <c r="F3" s="29">
        <v>7</v>
      </c>
      <c r="G3" s="29">
        <v>0.09</v>
      </c>
      <c r="H3" s="29" t="s">
        <v>56</v>
      </c>
      <c r="I3" s="29">
        <v>1.4</v>
      </c>
      <c r="J3" s="29">
        <v>1</v>
      </c>
      <c r="K3" s="29"/>
      <c r="L3" s="29"/>
      <c r="M3" s="29"/>
      <c r="N3" s="29"/>
      <c r="O3" s="29"/>
      <c r="P3" s="29"/>
      <c r="Q3" s="29"/>
      <c r="R3" s="29"/>
      <c r="S3" s="29"/>
      <c r="T3" s="30" t="s">
        <v>57</v>
      </c>
      <c r="U3" s="31">
        <f t="shared" ref="U3:U28" si="0">IF($I3&gt;0,$I3/IF($D3="双手",1.15,IF($D3="双持",1.4,1)),0)</f>
        <v>1.4</v>
      </c>
      <c r="V3" s="31">
        <f t="shared" ref="V3:V28" si="1">$U3+((IF($J3="",1,$J3))-1)*(IF($K3="",0,$K3))</f>
        <v>1.4</v>
      </c>
      <c r="W3" s="31">
        <f t="shared" ref="W3:W28" si="2">IF($V3&gt;0,(IF($J3="",1,$J3))/$V3,0)</f>
        <v>0.714285714285714</v>
      </c>
      <c r="X3" s="31">
        <f t="shared" ref="X3:X28" si="3">($E3+$F3)/2</f>
        <v>4</v>
      </c>
      <c r="Y3" s="31">
        <f t="shared" ref="Y3:Y28" si="4">$X3*$W3*IF($AM3="",1,$AM3)</f>
        <v>2.85714285714286</v>
      </c>
      <c r="Z3" s="31">
        <f>IF(NOT(($C3="是")),1,IF($M3&lt;=0,1,IF(参数区!$B$13&gt;$M3,0,IF(OR(参数区!$B$13&lt;=$N3,$M3&lt;=$N3),1,1-(参数区!$B$13-$N3)/($M3-$N3)*(1-$O3)))))</f>
        <v>1</v>
      </c>
      <c r="AA3" s="31">
        <f>IF(NOT(($C3="是")),1,IF((IF($D3="双持",$L3*1.25,$L3))&lt;=0,1,MIN(1,DEGREES(ATAN((参数区!$B$14/2)/参数区!$B$13))/(IF($D3="双持",$L3*1.25,$L3)))))</f>
        <v>1</v>
      </c>
      <c r="AB3" s="31">
        <f t="shared" ref="AB3:AB28" si="5">IF(($AF3)&lt;=0,(($E3)+($F3))/2,IF(($F3)&lt;=($E3),IF(($AF3)&lt;=0,($E3),IF(($E3)&gt;=($AF3),($E3),IF(($E3)&gt;=($AF3)/2,($E3)*(($E3)+($AF3))/(2*($AF3)),3*($E3)^2/(2*($AF3))))),(IF(MIN($F3,($AF3)/2)&gt;($E3),((MIN($F3,($AF3)/2))^3-(($E3))^3)/(2*($AF3)),0)+IF(MIN($F3,($AF3))&gt;MAX($E3,($AF3)/2),((MIN($F3,($AF3)))^3-(MAX($E3,($AF3)/2))^3)/(6*($AF3))+((MIN($F3,($AF3)))^2-(MAX($E3,($AF3)/2))^2)/4,0)+IF(($F3)&gt;MAX($E3,($AF3)),((($F3))^2-(MAX($E3,($AF3)))^2)/2,0))/(($F3)-($E3))))</f>
        <v>2.49249253154253</v>
      </c>
      <c r="AC3" s="31">
        <f t="shared" ref="AC3:AC28" si="6">IF(($AK3)&lt;=0,((0)+($AI3))/2,IF(($AI3)&lt;=(0),IF(($AK3)&lt;=0,(0),IF((0)&gt;=($AK3),(0),IF((0)&gt;=($AK3)/2,(0)*((0)+($AK3))/(2*($AK3)),3*(0)^2/(2*($AK3))))),(IF(MIN($AI3,($AK3)/2)&gt;(0),((MIN($AI3,($AK3)/2))^3-((0))^3)/(2*($AK3)),0)+IF(MIN($AI3,($AK3))&gt;MAX(0,($AK3)/2),((MIN($AI3,($AK3)))^3-(MAX(0,($AK3)/2))^3)/(6*($AK3))+((MIN($AI3,($AK3)))^2-(MAX(0,($AK3)/2))^2)/4,0)+IF(($AI3)&gt;MAX(0,($AK3)),((($AI3))^2-(MAX(0,($AK3)))^2)/2,0))/(($AI3)-(0))))</f>
        <v>0.796833230081115</v>
      </c>
      <c r="AD3" s="31">
        <f t="shared" ref="AD3:AD28" si="7">$AC3*$W3*$AA3*$Z3*IF($AM3="",1,$AM3)</f>
        <v>0.569166592915082</v>
      </c>
      <c r="AE3" s="32">
        <f>IF(($H3="锐"),参数区!$B$4,参数区!$B$5)</f>
        <v>12</v>
      </c>
      <c r="AF3" s="32">
        <f t="shared" ref="AF3:AF28" si="8">$AE3*(1-$G3)</f>
        <v>10.92</v>
      </c>
      <c r="AG3" s="32">
        <f>IF(($H3="锐"),参数区!$B$7,参数区!$B$8)</f>
        <v>12</v>
      </c>
      <c r="AH3" s="32">
        <f t="shared" ref="AH3:AH28" si="9">$AG3*(1-$G3)</f>
        <v>10.92</v>
      </c>
      <c r="AI3" s="32">
        <f t="shared" ref="AI3:AI28" si="10">IF(($AH3)&lt;=0,(($E3)+($F3))/2,IF(($F3)&lt;=($E3),IF(($AH3)&lt;=0,($E3),IF(($E3)&gt;=($AH3),($E3),IF(($E3)&gt;=($AH3)/2,($E3)*(($E3)+($AH3))/(2*($AH3)),3*($E3)^2/(2*($AH3))))),(IF(MIN($F3,($AH3)/2)&gt;($E3),((MIN($F3,($AH3)/2))^3-(($E3))^3)/(2*($AH3)),0)+IF(MIN($F3,($AH3))&gt;MAX($E3,($AH3)/2),((MIN($F3,($AH3)))^3-(MAX($E3,($AH3)/2))^3)/(6*($AH3))+((MIN($F3,($AH3)))^2-(MAX($E3,($AH3)/2))^2)/4,0)+IF(($F3)&gt;MAX($E3,($AH3)),((($F3))^2-(MAX($E3,($AH3)))^2)/2,0))/(($F3)-($E3))))</f>
        <v>2.49249253154253</v>
      </c>
      <c r="AJ3" s="32">
        <f>IF(($H3="锐"),参数区!$B$9,参数区!$B$10)</f>
        <v>4</v>
      </c>
      <c r="AK3" s="32">
        <f t="shared" ref="AK3:AK28" si="11">$AJ3*(1-$G3)</f>
        <v>3.64</v>
      </c>
      <c r="AL3" s="33">
        <v>0.5</v>
      </c>
      <c r="AM3">
        <v>1</v>
      </c>
      <c r="AN3" t="s">
        <v>58</v>
      </c>
      <c r="AO3">
        <f t="shared" ref="AO3:AO28" si="12">IF($AN3="—",0,MAX(1,IF($J3="",1,$J3)))</f>
        <v>0</v>
      </c>
      <c r="AP3" s="34">
        <v>90</v>
      </c>
      <c r="AQ3" s="34">
        <v>0.4</v>
      </c>
    </row>
    <row r="4" ht="17" spans="1:43">
      <c r="A4" s="29" t="s">
        <v>59</v>
      </c>
      <c r="B4" s="30" t="s">
        <v>60</v>
      </c>
      <c r="C4" s="29" t="s">
        <v>54</v>
      </c>
      <c r="D4" s="29" t="s">
        <v>55</v>
      </c>
      <c r="E4" s="29">
        <v>1</v>
      </c>
      <c r="F4" s="29">
        <v>15</v>
      </c>
      <c r="G4" s="29">
        <v>0.12</v>
      </c>
      <c r="H4" s="29" t="s">
        <v>56</v>
      </c>
      <c r="I4" s="29">
        <v>2.4</v>
      </c>
      <c r="J4" s="29">
        <v>1</v>
      </c>
      <c r="K4" s="29"/>
      <c r="L4" s="29"/>
      <c r="M4" s="29"/>
      <c r="N4" s="29"/>
      <c r="O4" s="29"/>
      <c r="P4" s="29"/>
      <c r="Q4" s="29"/>
      <c r="R4" s="29"/>
      <c r="S4" s="29"/>
      <c r="T4" s="30"/>
      <c r="U4" s="31">
        <f t="shared" si="0"/>
        <v>2.4</v>
      </c>
      <c r="V4" s="31">
        <f t="shared" si="1"/>
        <v>2.4</v>
      </c>
      <c r="W4" s="31">
        <f t="shared" si="2"/>
        <v>0.416666666666667</v>
      </c>
      <c r="X4" s="31">
        <f t="shared" si="3"/>
        <v>8</v>
      </c>
      <c r="Y4" s="31">
        <f t="shared" si="4"/>
        <v>3.33333333333333</v>
      </c>
      <c r="Z4" s="31">
        <f>IF(NOT(($C4="是")),1,IF($M4&lt;=0,1,IF(参数区!$B$13&gt;$M4,0,IF(OR(参数区!$B$13&lt;=$N4,$M4&lt;=$N4),1,1-(参数区!$B$13-$N4)/($M4-$N4)*(1-$O4)))))</f>
        <v>1</v>
      </c>
      <c r="AA4" s="31">
        <f>IF(NOT(($C4="是")),1,IF((IF($D4="双持",$L4*1.25,$L4))&lt;=0,1,MIN(1,DEGREES(ATAN((参数区!$B$14/2)/参数区!$B$13))/(IF($D4="双持",$L4*1.25,$L4)))))</f>
        <v>1</v>
      </c>
      <c r="AB4" s="31">
        <f t="shared" si="5"/>
        <v>7.20261796536797</v>
      </c>
      <c r="AC4" s="31">
        <f t="shared" si="6"/>
        <v>3.42211487952975</v>
      </c>
      <c r="AD4" s="31">
        <f t="shared" si="7"/>
        <v>1.42588119980406</v>
      </c>
      <c r="AE4" s="32">
        <f>IF(($H4="锐"),参数区!$B$4,参数区!$B$5)</f>
        <v>12</v>
      </c>
      <c r="AF4" s="32">
        <f t="shared" si="8"/>
        <v>10.56</v>
      </c>
      <c r="AG4" s="32">
        <f>IF(($H4="锐"),参数区!$B$7,参数区!$B$8)</f>
        <v>12</v>
      </c>
      <c r="AH4" s="32">
        <f t="shared" si="9"/>
        <v>10.56</v>
      </c>
      <c r="AI4" s="32">
        <f t="shared" si="10"/>
        <v>7.20261796536797</v>
      </c>
      <c r="AJ4" s="32">
        <f>IF(($H4="锐"),参数区!$B$9,参数区!$B$10)</f>
        <v>4</v>
      </c>
      <c r="AK4" s="32">
        <f t="shared" si="11"/>
        <v>3.52</v>
      </c>
      <c r="AL4" s="33">
        <v>1.2</v>
      </c>
      <c r="AM4">
        <v>1</v>
      </c>
      <c r="AN4" t="s">
        <v>58</v>
      </c>
      <c r="AO4">
        <f t="shared" si="12"/>
        <v>0</v>
      </c>
      <c r="AP4" s="34">
        <v>105</v>
      </c>
      <c r="AQ4" s="34">
        <v>0.4</v>
      </c>
    </row>
    <row r="5" ht="34" spans="1:43">
      <c r="A5" s="29" t="s">
        <v>61</v>
      </c>
      <c r="B5" s="30" t="s">
        <v>62</v>
      </c>
      <c r="C5" s="29" t="s">
        <v>54</v>
      </c>
      <c r="D5" s="29" t="s">
        <v>55</v>
      </c>
      <c r="E5" s="29">
        <v>1</v>
      </c>
      <c r="F5" s="29">
        <v>12</v>
      </c>
      <c r="G5" s="29">
        <v>0.15</v>
      </c>
      <c r="H5" s="29" t="s">
        <v>56</v>
      </c>
      <c r="I5" s="29">
        <v>1.9</v>
      </c>
      <c r="J5" s="29">
        <v>1</v>
      </c>
      <c r="K5" s="29"/>
      <c r="L5" s="29"/>
      <c r="M5" s="29"/>
      <c r="N5" s="29"/>
      <c r="O5" s="29"/>
      <c r="P5" s="29"/>
      <c r="Q5" s="29"/>
      <c r="R5" s="29"/>
      <c r="S5" s="29"/>
      <c r="T5" s="30" t="s">
        <v>57</v>
      </c>
      <c r="U5" s="31">
        <f t="shared" si="0"/>
        <v>1.9</v>
      </c>
      <c r="V5" s="31">
        <f t="shared" si="1"/>
        <v>1.9</v>
      </c>
      <c r="W5" s="31">
        <f t="shared" si="2"/>
        <v>0.526315789473684</v>
      </c>
      <c r="X5" s="31">
        <f t="shared" si="3"/>
        <v>6.5</v>
      </c>
      <c r="Y5" s="31">
        <f t="shared" si="4"/>
        <v>3.42105263157895</v>
      </c>
      <c r="Z5" s="31">
        <f>IF(NOT(($C5="是")),1,IF($M5&lt;=0,1,IF(参数区!$B$13&gt;$M5,0,IF(OR(参数区!$B$13&lt;=$N5,$M5&lt;=$N5),1,1-(参数区!$B$13-$N5)/($M5-$N5)*(1-$O5)))))</f>
        <v>1</v>
      </c>
      <c r="AA5" s="31">
        <f>IF(NOT(($C5="是")),1,IF((IF($D5="双持",$L5*1.25,$L5))&lt;=0,1,MIN(1,DEGREES(ATAN((参数区!$B$14/2)/参数区!$B$13))/(IF($D5="双持",$L5*1.25,$L5)))))</f>
        <v>1</v>
      </c>
      <c r="AB5" s="31">
        <f t="shared" si="5"/>
        <v>5.55577094474153</v>
      </c>
      <c r="AC5" s="31">
        <f t="shared" si="6"/>
        <v>2.56114387545407</v>
      </c>
      <c r="AD5" s="31">
        <f t="shared" si="7"/>
        <v>1.3479704607653</v>
      </c>
      <c r="AE5" s="32">
        <f>IF(($H5="锐"),参数区!$B$4,参数区!$B$5)</f>
        <v>12</v>
      </c>
      <c r="AF5" s="32">
        <f t="shared" si="8"/>
        <v>10.2</v>
      </c>
      <c r="AG5" s="32">
        <f>IF(($H5="锐"),参数区!$B$7,参数区!$B$8)</f>
        <v>12</v>
      </c>
      <c r="AH5" s="32">
        <f t="shared" si="9"/>
        <v>10.2</v>
      </c>
      <c r="AI5" s="32">
        <f t="shared" si="10"/>
        <v>5.55577094474153</v>
      </c>
      <c r="AJ5" s="32">
        <f>IF(($H5="锐"),参数区!$B$9,参数区!$B$10)</f>
        <v>4</v>
      </c>
      <c r="AK5" s="32">
        <f t="shared" si="11"/>
        <v>3.4</v>
      </c>
      <c r="AL5" s="33">
        <v>1</v>
      </c>
      <c r="AM5">
        <v>1</v>
      </c>
      <c r="AN5" t="s">
        <v>58</v>
      </c>
      <c r="AO5">
        <f t="shared" si="12"/>
        <v>0</v>
      </c>
      <c r="AP5" s="34">
        <v>95</v>
      </c>
      <c r="AQ5" s="34">
        <v>0.3</v>
      </c>
    </row>
    <row r="6" ht="17" spans="1:43">
      <c r="A6" s="29" t="s">
        <v>63</v>
      </c>
      <c r="B6" s="30" t="s">
        <v>64</v>
      </c>
      <c r="C6" s="29" t="s">
        <v>54</v>
      </c>
      <c r="D6" s="29" t="s">
        <v>65</v>
      </c>
      <c r="E6" s="29">
        <v>1</v>
      </c>
      <c r="F6" s="29">
        <v>21</v>
      </c>
      <c r="G6" s="29">
        <v>0.18</v>
      </c>
      <c r="H6" s="29" t="s">
        <v>56</v>
      </c>
      <c r="I6" s="29">
        <v>3.6</v>
      </c>
      <c r="J6" s="29">
        <v>1</v>
      </c>
      <c r="K6" s="29"/>
      <c r="L6" s="29"/>
      <c r="M6" s="29"/>
      <c r="N6" s="29"/>
      <c r="O6" s="29"/>
      <c r="P6" s="29"/>
      <c r="Q6" s="29"/>
      <c r="R6" s="29"/>
      <c r="S6" s="29"/>
      <c r="T6" s="30"/>
      <c r="U6" s="31">
        <f t="shared" si="0"/>
        <v>3.1304347826087</v>
      </c>
      <c r="V6" s="31">
        <f t="shared" si="1"/>
        <v>3.1304347826087</v>
      </c>
      <c r="W6" s="31">
        <f t="shared" si="2"/>
        <v>0.319444444444444</v>
      </c>
      <c r="X6" s="31">
        <f t="shared" si="3"/>
        <v>11</v>
      </c>
      <c r="Y6" s="31">
        <f t="shared" si="4"/>
        <v>3.51388888888889</v>
      </c>
      <c r="Z6" s="31">
        <f>IF(NOT(($C6="是")),1,IF($M6&lt;=0,1,IF(参数区!$B$13&gt;$M6,0,IF(OR(参数区!$B$13&lt;=$N6,$M6&lt;=$N6),1,1-(参数区!$B$13-$N6)/($M6-$N6)*(1-$O6)))))</f>
        <v>1</v>
      </c>
      <c r="AA6" s="31">
        <f>IF(NOT(($C6="是")),1,IF((IF($D6="双持",$L6*1.25,$L6))&lt;=0,1,MIN(1,DEGREES(ATAN((参数区!$B$14/2)/参数区!$B$13))/(IF($D6="双持",$L6*1.25,$L6)))))</f>
        <v>1</v>
      </c>
      <c r="AB6" s="31">
        <f t="shared" si="5"/>
        <v>10.5181593495935</v>
      </c>
      <c r="AC6" s="31">
        <f t="shared" si="6"/>
        <v>5.15253378312322</v>
      </c>
      <c r="AD6" s="31">
        <f t="shared" si="7"/>
        <v>1.64594829183103</v>
      </c>
      <c r="AE6" s="32">
        <f>IF(($H6="锐"),参数区!$B$4,参数区!$B$5)</f>
        <v>12</v>
      </c>
      <c r="AF6" s="32">
        <f t="shared" si="8"/>
        <v>9.84</v>
      </c>
      <c r="AG6" s="32">
        <f>IF(($H6="锐"),参数区!$B$7,参数区!$B$8)</f>
        <v>12</v>
      </c>
      <c r="AH6" s="32">
        <f t="shared" si="9"/>
        <v>9.84</v>
      </c>
      <c r="AI6" s="32">
        <f t="shared" si="10"/>
        <v>10.5181593495935</v>
      </c>
      <c r="AJ6" s="32">
        <f>IF(($H6="锐"),参数区!$B$9,参数区!$B$10)</f>
        <v>4</v>
      </c>
      <c r="AK6" s="32">
        <f t="shared" si="11"/>
        <v>3.28</v>
      </c>
      <c r="AL6" s="33">
        <v>2.5</v>
      </c>
      <c r="AM6">
        <v>1</v>
      </c>
      <c r="AN6" t="s">
        <v>58</v>
      </c>
      <c r="AO6">
        <f t="shared" si="12"/>
        <v>0</v>
      </c>
      <c r="AP6" s="34">
        <v>120</v>
      </c>
      <c r="AQ6" s="34">
        <v>0.4</v>
      </c>
    </row>
    <row r="7" ht="17" spans="1:43">
      <c r="A7" s="29" t="s">
        <v>66</v>
      </c>
      <c r="B7" s="30" t="s">
        <v>67</v>
      </c>
      <c r="C7" s="29" t="s">
        <v>54</v>
      </c>
      <c r="D7" s="29" t="s">
        <v>65</v>
      </c>
      <c r="E7" s="29">
        <v>1</v>
      </c>
      <c r="F7" s="29">
        <v>18</v>
      </c>
      <c r="G7" s="29">
        <v>0.16</v>
      </c>
      <c r="H7" s="29" t="s">
        <v>56</v>
      </c>
      <c r="I7" s="29">
        <v>3.7</v>
      </c>
      <c r="J7" s="29">
        <v>1</v>
      </c>
      <c r="K7" s="29"/>
      <c r="L7" s="29"/>
      <c r="M7" s="29"/>
      <c r="N7" s="29"/>
      <c r="O7" s="29"/>
      <c r="P7" s="29"/>
      <c r="Q7" s="29"/>
      <c r="R7" s="29"/>
      <c r="S7" s="29"/>
      <c r="T7" s="30"/>
      <c r="U7" s="31">
        <f t="shared" si="0"/>
        <v>3.21739130434783</v>
      </c>
      <c r="V7" s="31">
        <f t="shared" si="1"/>
        <v>3.21739130434783</v>
      </c>
      <c r="W7" s="31">
        <f t="shared" si="2"/>
        <v>0.310810810810811</v>
      </c>
      <c r="X7" s="31">
        <f t="shared" si="3"/>
        <v>9.5</v>
      </c>
      <c r="Y7" s="31">
        <f t="shared" si="4"/>
        <v>2.9527027027027</v>
      </c>
      <c r="Z7" s="31">
        <f>IF(NOT(($C7="是")),1,IF($M7&lt;=0,1,IF(参数区!$B$13&gt;$M7,0,IF(OR(参数区!$B$13&lt;=$N7,$M7&lt;=$N7),1,1-(参数区!$B$13-$N7)/($M7-$N7)*(1-$O7)))))</f>
        <v>1</v>
      </c>
      <c r="AA7" s="31">
        <f>IF(NOT(($C7="是")),1,IF((IF($D7="双持",$L7*1.25,$L7))&lt;=0,1,MIN(1,DEGREES(ATAN((参数区!$B$14/2)/参数区!$B$13))/(IF($D7="双持",$L7*1.25,$L7)))))</f>
        <v>1</v>
      </c>
      <c r="AB7" s="31">
        <f t="shared" si="5"/>
        <v>8.90390569561158</v>
      </c>
      <c r="AC7" s="31">
        <f t="shared" si="6"/>
        <v>4.31987597725003</v>
      </c>
      <c r="AD7" s="31">
        <f t="shared" si="7"/>
        <v>1.34266415509122</v>
      </c>
      <c r="AE7" s="32">
        <f>IF(($H7="锐"),参数区!$B$4,参数区!$B$5)</f>
        <v>12</v>
      </c>
      <c r="AF7" s="32">
        <f t="shared" si="8"/>
        <v>10.08</v>
      </c>
      <c r="AG7" s="32">
        <f>IF(($H7="锐"),参数区!$B$7,参数区!$B$8)</f>
        <v>12</v>
      </c>
      <c r="AH7" s="32">
        <f t="shared" si="9"/>
        <v>10.08</v>
      </c>
      <c r="AI7" s="32">
        <f t="shared" si="10"/>
        <v>8.90390569561158</v>
      </c>
      <c r="AJ7" s="32">
        <f>IF(($H7="锐"),参数区!$B$9,参数区!$B$10)</f>
        <v>4</v>
      </c>
      <c r="AK7" s="32">
        <f t="shared" si="11"/>
        <v>3.36</v>
      </c>
      <c r="AL7" s="33">
        <v>2.8</v>
      </c>
      <c r="AM7">
        <v>1</v>
      </c>
      <c r="AN7" t="s">
        <v>58</v>
      </c>
      <c r="AO7">
        <f t="shared" si="12"/>
        <v>0</v>
      </c>
      <c r="AP7" s="34">
        <v>120</v>
      </c>
      <c r="AQ7" s="34">
        <v>0.3</v>
      </c>
    </row>
    <row r="8" ht="17" spans="1:43">
      <c r="A8" s="29" t="s">
        <v>68</v>
      </c>
      <c r="B8" s="30" t="s">
        <v>69</v>
      </c>
      <c r="C8" s="29" t="s">
        <v>54</v>
      </c>
      <c r="D8" s="29" t="s">
        <v>65</v>
      </c>
      <c r="E8" s="29">
        <v>1</v>
      </c>
      <c r="F8" s="29">
        <v>27</v>
      </c>
      <c r="G8" s="29">
        <v>0.24</v>
      </c>
      <c r="H8" s="29" t="s">
        <v>56</v>
      </c>
      <c r="I8" s="29">
        <v>4</v>
      </c>
      <c r="J8" s="29">
        <v>1</v>
      </c>
      <c r="K8" s="29"/>
      <c r="L8" s="29"/>
      <c r="M8" s="29"/>
      <c r="N8" s="29"/>
      <c r="O8" s="29"/>
      <c r="P8" s="29"/>
      <c r="Q8" s="29"/>
      <c r="R8" s="29"/>
      <c r="S8" s="29"/>
      <c r="T8" s="30"/>
      <c r="U8" s="31">
        <f t="shared" si="0"/>
        <v>3.47826086956522</v>
      </c>
      <c r="V8" s="31">
        <f t="shared" si="1"/>
        <v>3.47826086956522</v>
      </c>
      <c r="W8" s="31">
        <f t="shared" si="2"/>
        <v>0.2875</v>
      </c>
      <c r="X8" s="31">
        <f t="shared" si="3"/>
        <v>14</v>
      </c>
      <c r="Y8" s="31">
        <f t="shared" si="4"/>
        <v>4.025</v>
      </c>
      <c r="Z8" s="31">
        <f>IF(NOT(($C8="是")),1,IF($M8&lt;=0,1,IF(参数区!$B$13&gt;$M8,0,IF(OR(参数区!$B$13&lt;=$N8,$M8&lt;=$N8),1,1-(参数区!$B$13-$N8)/($M8-$N8)*(1-$O8)))))</f>
        <v>1</v>
      </c>
      <c r="AA8" s="31">
        <f>IF(NOT(($C8="是")),1,IF((IF($D8="双持",$L8*1.25,$L8))&lt;=0,1,MIN(1,DEGREES(ATAN((参数区!$B$14/2)/参数区!$B$13))/(IF($D8="双持",$L8*1.25,$L8)))))</f>
        <v>1</v>
      </c>
      <c r="AB8" s="31">
        <f t="shared" si="5"/>
        <v>13.6838913630229</v>
      </c>
      <c r="AC8" s="31">
        <f t="shared" si="6"/>
        <v>6.77159532274817</v>
      </c>
      <c r="AD8" s="31">
        <f t="shared" si="7"/>
        <v>1.9468336552901</v>
      </c>
      <c r="AE8" s="32">
        <f>IF(($H8="锐"),参数区!$B$4,参数区!$B$5)</f>
        <v>12</v>
      </c>
      <c r="AF8" s="32">
        <f t="shared" si="8"/>
        <v>9.12</v>
      </c>
      <c r="AG8" s="32">
        <f>IF(($H8="锐"),参数区!$B$7,参数区!$B$8)</f>
        <v>12</v>
      </c>
      <c r="AH8" s="32">
        <f t="shared" si="9"/>
        <v>9.12</v>
      </c>
      <c r="AI8" s="32">
        <f t="shared" si="10"/>
        <v>13.6838913630229</v>
      </c>
      <c r="AJ8" s="32">
        <f>IF(($H8="锐"),参数区!$B$9,参数区!$B$10)</f>
        <v>4</v>
      </c>
      <c r="AK8" s="32">
        <f t="shared" si="11"/>
        <v>3.04</v>
      </c>
      <c r="AL8" s="33">
        <v>3.5</v>
      </c>
      <c r="AM8">
        <v>1</v>
      </c>
      <c r="AN8" t="s">
        <v>58</v>
      </c>
      <c r="AO8">
        <f t="shared" si="12"/>
        <v>0</v>
      </c>
      <c r="AP8" s="34">
        <v>135</v>
      </c>
      <c r="AQ8" s="34">
        <v>0.5</v>
      </c>
    </row>
    <row r="9" ht="17" spans="1:43">
      <c r="A9" s="29" t="s">
        <v>70</v>
      </c>
      <c r="B9" s="30" t="s">
        <v>71</v>
      </c>
      <c r="C9" s="29" t="s">
        <v>54</v>
      </c>
      <c r="D9" s="29" t="s">
        <v>55</v>
      </c>
      <c r="E9" s="29">
        <v>10</v>
      </c>
      <c r="F9" s="29">
        <v>13</v>
      </c>
      <c r="G9" s="29">
        <v>0.03</v>
      </c>
      <c r="H9" s="29" t="s">
        <v>72</v>
      </c>
      <c r="I9" s="29">
        <v>2.4</v>
      </c>
      <c r="J9" s="29">
        <v>1</v>
      </c>
      <c r="K9" s="29"/>
      <c r="L9" s="29"/>
      <c r="M9" s="29"/>
      <c r="N9" s="29"/>
      <c r="O9" s="29"/>
      <c r="P9" s="29"/>
      <c r="Q9" s="29"/>
      <c r="R9" s="29"/>
      <c r="S9" s="29"/>
      <c r="T9" s="30"/>
      <c r="U9" s="31">
        <f t="shared" si="0"/>
        <v>2.4</v>
      </c>
      <c r="V9" s="31">
        <f t="shared" si="1"/>
        <v>2.4</v>
      </c>
      <c r="W9" s="31">
        <f t="shared" si="2"/>
        <v>0.416666666666667</v>
      </c>
      <c r="X9" s="31">
        <f t="shared" si="3"/>
        <v>11.5</v>
      </c>
      <c r="Y9" s="31">
        <f t="shared" si="4"/>
        <v>4.79166666666667</v>
      </c>
      <c r="Z9" s="31">
        <f>IF(NOT(($C9="是")),1,IF($M9&lt;=0,1,IF(参数区!$B$13&gt;$M9,0,IF(OR(参数区!$B$13&lt;=$N9,$M9&lt;=$N9),1,1-(参数区!$B$13-$N9)/($M9-$N9)*(1-$O9)))))</f>
        <v>1</v>
      </c>
      <c r="AA9" s="31">
        <f>IF(NOT(($C9="是")),1,IF((IF($D9="双持",$L9*1.25,$L9))&lt;=0,1,MIN(1,DEGREES(ATAN((参数区!$B$14/2)/参数区!$B$13))/(IF($D9="双持",$L9*1.25,$L9)))))</f>
        <v>1</v>
      </c>
      <c r="AB9" s="31">
        <f t="shared" si="5"/>
        <v>11.5</v>
      </c>
      <c r="AC9" s="31">
        <f t="shared" si="6"/>
        <v>5.71590942028985</v>
      </c>
      <c r="AD9" s="31">
        <f t="shared" si="7"/>
        <v>2.38162892512077</v>
      </c>
      <c r="AE9" s="32">
        <f>IF(($H9="锐"),参数区!$B$4,参数区!$B$5)</f>
        <v>6</v>
      </c>
      <c r="AF9" s="32">
        <f t="shared" si="8"/>
        <v>5.82</v>
      </c>
      <c r="AG9" s="32">
        <f>IF(($H9="锐"),参数区!$B$7,参数区!$B$8)</f>
        <v>6</v>
      </c>
      <c r="AH9" s="32">
        <f t="shared" si="9"/>
        <v>5.82</v>
      </c>
      <c r="AI9" s="32">
        <f t="shared" si="10"/>
        <v>11.5</v>
      </c>
      <c r="AJ9" s="32">
        <f>IF(($H9="锐"),参数区!$B$9,参数区!$B$10)</f>
        <v>2</v>
      </c>
      <c r="AK9" s="32">
        <f t="shared" si="11"/>
        <v>1.94</v>
      </c>
      <c r="AL9" s="33">
        <v>1.5</v>
      </c>
      <c r="AM9">
        <v>1</v>
      </c>
      <c r="AN9" t="s">
        <v>58</v>
      </c>
      <c r="AO9">
        <f t="shared" si="12"/>
        <v>0</v>
      </c>
      <c r="AP9" s="34">
        <v>110</v>
      </c>
      <c r="AQ9" s="34">
        <v>1.2</v>
      </c>
    </row>
    <row r="10" ht="17" spans="1:43">
      <c r="A10" s="29" t="s">
        <v>73</v>
      </c>
      <c r="B10" s="30" t="s">
        <v>74</v>
      </c>
      <c r="C10" s="29" t="s">
        <v>54</v>
      </c>
      <c r="D10" s="29" t="s">
        <v>55</v>
      </c>
      <c r="E10" s="29">
        <v>15</v>
      </c>
      <c r="F10" s="29">
        <v>20</v>
      </c>
      <c r="G10" s="29">
        <v>0.05</v>
      </c>
      <c r="H10" s="29" t="s">
        <v>72</v>
      </c>
      <c r="I10" s="29">
        <v>3.7</v>
      </c>
      <c r="J10" s="29">
        <v>1</v>
      </c>
      <c r="K10" s="29"/>
      <c r="L10" s="29"/>
      <c r="M10" s="29"/>
      <c r="N10" s="29"/>
      <c r="O10" s="29"/>
      <c r="P10" s="29"/>
      <c r="Q10" s="29"/>
      <c r="R10" s="29"/>
      <c r="S10" s="29"/>
      <c r="T10" s="30"/>
      <c r="U10" s="31">
        <f t="shared" si="0"/>
        <v>3.7</v>
      </c>
      <c r="V10" s="31">
        <f t="shared" si="1"/>
        <v>3.7</v>
      </c>
      <c r="W10" s="31">
        <f t="shared" si="2"/>
        <v>0.27027027027027</v>
      </c>
      <c r="X10" s="31">
        <f t="shared" si="3"/>
        <v>17.5</v>
      </c>
      <c r="Y10" s="31">
        <f t="shared" si="4"/>
        <v>4.72972972972973</v>
      </c>
      <c r="Z10" s="31">
        <f>IF(NOT(($C10="是")),1,IF($M10&lt;=0,1,IF(参数区!$B$13&gt;$M10,0,IF(OR(参数区!$B$13&lt;=$N10,$M10&lt;=$N10),1,1-(参数区!$B$13-$N10)/($M10-$N10)*(1-$O10)))))</f>
        <v>1</v>
      </c>
      <c r="AA10" s="31">
        <f>IF(NOT(($C10="是")),1,IF((IF($D10="双持",$L10*1.25,$L10))&lt;=0,1,MIN(1,DEGREES(ATAN((参数区!$B$14/2)/参数区!$B$13))/(IF($D10="双持",$L10*1.25,$L10)))))</f>
        <v>1</v>
      </c>
      <c r="AB10" s="31">
        <f t="shared" si="5"/>
        <v>17.5</v>
      </c>
      <c r="AC10" s="31">
        <f t="shared" si="6"/>
        <v>8.7285119047619</v>
      </c>
      <c r="AD10" s="31">
        <f t="shared" si="7"/>
        <v>2.35905727155727</v>
      </c>
      <c r="AE10" s="32">
        <f>IF(($H10="锐"),参数区!$B$4,参数区!$B$5)</f>
        <v>6</v>
      </c>
      <c r="AF10" s="32">
        <f t="shared" si="8"/>
        <v>5.7</v>
      </c>
      <c r="AG10" s="32">
        <f>IF(($H10="锐"),参数区!$B$7,参数区!$B$8)</f>
        <v>6</v>
      </c>
      <c r="AH10" s="32">
        <f t="shared" si="9"/>
        <v>5.7</v>
      </c>
      <c r="AI10" s="32">
        <f t="shared" si="10"/>
        <v>17.5</v>
      </c>
      <c r="AJ10" s="32">
        <f>IF(($H10="锐"),参数区!$B$9,参数区!$B$10)</f>
        <v>2</v>
      </c>
      <c r="AK10" s="32">
        <f t="shared" si="11"/>
        <v>1.9</v>
      </c>
      <c r="AL10" s="33">
        <v>2.5</v>
      </c>
      <c r="AM10">
        <v>1</v>
      </c>
      <c r="AN10" t="s">
        <v>58</v>
      </c>
      <c r="AO10">
        <f t="shared" si="12"/>
        <v>0</v>
      </c>
      <c r="AP10" s="34">
        <v>130</v>
      </c>
      <c r="AQ10" s="34">
        <v>1.6</v>
      </c>
    </row>
    <row r="11" ht="34" spans="1:43">
      <c r="A11" s="29" t="s">
        <v>75</v>
      </c>
      <c r="B11" s="30" t="s">
        <v>76</v>
      </c>
      <c r="C11" s="29" t="s">
        <v>54</v>
      </c>
      <c r="D11" s="29" t="s">
        <v>65</v>
      </c>
      <c r="E11" s="29">
        <v>20</v>
      </c>
      <c r="F11" s="29">
        <v>28</v>
      </c>
      <c r="G11" s="29">
        <v>0.35</v>
      </c>
      <c r="H11" s="29" t="s">
        <v>72</v>
      </c>
      <c r="I11" s="29">
        <v>4.5</v>
      </c>
      <c r="J11" s="29">
        <v>1</v>
      </c>
      <c r="K11" s="29"/>
      <c r="L11" s="29"/>
      <c r="M11" s="29"/>
      <c r="N11" s="29"/>
      <c r="O11" s="29"/>
      <c r="P11" s="29"/>
      <c r="Q11" s="29"/>
      <c r="R11" s="29"/>
      <c r="S11" s="29"/>
      <c r="T11" s="30"/>
      <c r="U11" s="31">
        <f t="shared" si="0"/>
        <v>3.91304347826087</v>
      </c>
      <c r="V11" s="31">
        <f t="shared" si="1"/>
        <v>3.91304347826087</v>
      </c>
      <c r="W11" s="31">
        <f t="shared" si="2"/>
        <v>0.255555555555556</v>
      </c>
      <c r="X11" s="31">
        <f t="shared" si="3"/>
        <v>24</v>
      </c>
      <c r="Y11" s="31">
        <f t="shared" si="4"/>
        <v>6.13333333333333</v>
      </c>
      <c r="Z11" s="31">
        <f>IF(NOT(($C11="是")),1,IF($M11&lt;=0,1,IF(参数区!$B$13&gt;$M11,0,IF(OR(参数区!$B$13&lt;=$N11,$M11&lt;=$N11),1,1-(参数区!$B$13-$N11)/($M11-$N11)*(1-$O11)))))</f>
        <v>1</v>
      </c>
      <c r="AA11" s="31">
        <f>IF(NOT(($C11="是")),1,IF((IF($D11="双持",$L11*1.25,$L11))&lt;=0,1,MIN(1,DEGREES(ATAN((参数区!$B$14/2)/参数区!$B$13))/(IF($D11="双持",$L11*1.25,$L11)))))</f>
        <v>1</v>
      </c>
      <c r="AB11" s="31">
        <f t="shared" si="5"/>
        <v>24</v>
      </c>
      <c r="AC11" s="31">
        <f t="shared" si="6"/>
        <v>11.9926649305556</v>
      </c>
      <c r="AD11" s="31">
        <f t="shared" si="7"/>
        <v>3.06479214891975</v>
      </c>
      <c r="AE11" s="32">
        <f>IF(($H11="锐"),参数区!$B$4,参数区!$B$5)</f>
        <v>6</v>
      </c>
      <c r="AF11" s="32">
        <f t="shared" si="8"/>
        <v>3.9</v>
      </c>
      <c r="AG11" s="32">
        <f>IF(($H11="锐"),参数区!$B$7,参数区!$B$8)</f>
        <v>6</v>
      </c>
      <c r="AH11" s="32">
        <f t="shared" si="9"/>
        <v>3.9</v>
      </c>
      <c r="AI11" s="32">
        <f t="shared" si="10"/>
        <v>24</v>
      </c>
      <c r="AJ11" s="32">
        <f>IF(($H11="锐"),参数区!$B$9,参数区!$B$10)</f>
        <v>2</v>
      </c>
      <c r="AK11" s="32">
        <f t="shared" si="11"/>
        <v>1.3</v>
      </c>
      <c r="AL11" s="33">
        <v>5</v>
      </c>
      <c r="AM11">
        <v>1</v>
      </c>
      <c r="AN11" t="s">
        <v>58</v>
      </c>
      <c r="AO11">
        <f t="shared" si="12"/>
        <v>0</v>
      </c>
      <c r="AP11" s="34">
        <v>150</v>
      </c>
      <c r="AQ11" s="34">
        <v>2</v>
      </c>
    </row>
    <row r="12" ht="84" spans="1:43">
      <c r="A12" s="29" t="s">
        <v>77</v>
      </c>
      <c r="B12" s="30" t="s">
        <v>78</v>
      </c>
      <c r="C12" s="29" t="s">
        <v>79</v>
      </c>
      <c r="D12" s="29" t="s">
        <v>65</v>
      </c>
      <c r="E12" s="29">
        <v>4</v>
      </c>
      <c r="F12" s="29">
        <v>16</v>
      </c>
      <c r="G12" s="29">
        <v>0.25</v>
      </c>
      <c r="H12" s="29" t="s">
        <v>56</v>
      </c>
      <c r="I12" s="29">
        <v>3.5</v>
      </c>
      <c r="J12" s="29">
        <v>1</v>
      </c>
      <c r="K12" s="29"/>
      <c r="L12" s="29">
        <v>5</v>
      </c>
      <c r="M12" s="29">
        <v>260</v>
      </c>
      <c r="N12" s="29">
        <v>90</v>
      </c>
      <c r="O12" s="29">
        <v>0.45</v>
      </c>
      <c r="P12" s="29">
        <v>5</v>
      </c>
      <c r="Q12" s="29">
        <v>9</v>
      </c>
      <c r="R12" s="29">
        <v>1.6</v>
      </c>
      <c r="S12" s="29">
        <v>0.03</v>
      </c>
      <c r="T12" s="30" t="s">
        <v>80</v>
      </c>
      <c r="U12" s="31">
        <f t="shared" si="0"/>
        <v>3.04347826086957</v>
      </c>
      <c r="V12" s="31">
        <f t="shared" si="1"/>
        <v>3.04347826086957</v>
      </c>
      <c r="W12" s="31">
        <f t="shared" si="2"/>
        <v>0.328571428571429</v>
      </c>
      <c r="X12" s="31">
        <f t="shared" si="3"/>
        <v>10</v>
      </c>
      <c r="Y12" s="31">
        <f t="shared" si="4"/>
        <v>3.28571428571429</v>
      </c>
      <c r="Z12" s="31">
        <f>IF(NOT(($C12="是")),1,IF($M12&lt;=0,1,IF(参数区!$B$13&gt;$M12,0,IF(OR(参数区!$B$13&lt;=$N12,$M12&lt;=$N12),1,1-(参数区!$B$13-$N12)/($M12-$N12)*(1-$O12)))))</f>
        <v>1</v>
      </c>
      <c r="AA12" s="31">
        <f>IF(NOT(($C12="是")),1,IF((IF($D12="双持",$L12*1.25,$L12))&lt;=0,1,MIN(1,DEGREES(ATAN((参数区!$B$14/2)/参数区!$B$13))/(IF($D12="双持",$L12*1.25,$L12)))))</f>
        <v>1</v>
      </c>
      <c r="AB12" s="31">
        <f t="shared" si="5"/>
        <v>9.66724537037037</v>
      </c>
      <c r="AC12" s="31">
        <f t="shared" si="6"/>
        <v>4.7366457321771</v>
      </c>
      <c r="AD12" s="31">
        <f t="shared" si="7"/>
        <v>1.55632645485819</v>
      </c>
      <c r="AE12" s="32">
        <f>IF(($H12="锐"),参数区!$B$4,参数区!$B$5)</f>
        <v>12</v>
      </c>
      <c r="AF12" s="32">
        <f t="shared" si="8"/>
        <v>9</v>
      </c>
      <c r="AG12" s="32">
        <f>IF(($H12="锐"),参数区!$B$7,参数区!$B$8)</f>
        <v>12</v>
      </c>
      <c r="AH12" s="32">
        <f t="shared" si="9"/>
        <v>9</v>
      </c>
      <c r="AI12" s="32">
        <f t="shared" si="10"/>
        <v>9.66724537037037</v>
      </c>
      <c r="AJ12" s="32">
        <f>IF(($H12="锐"),参数区!$B$9,参数区!$B$10)</f>
        <v>4</v>
      </c>
      <c r="AK12" s="32">
        <f t="shared" si="11"/>
        <v>3</v>
      </c>
      <c r="AL12" s="33">
        <v>1.5</v>
      </c>
      <c r="AM12">
        <v>1</v>
      </c>
      <c r="AN12" t="s">
        <v>81</v>
      </c>
      <c r="AO12">
        <f t="shared" si="12"/>
        <v>1</v>
      </c>
      <c r="AP12" s="35">
        <v>450</v>
      </c>
      <c r="AQ12" s="35">
        <v>1</v>
      </c>
    </row>
    <row r="13" ht="34" spans="1:43">
      <c r="A13" s="29" t="s">
        <v>82</v>
      </c>
      <c r="B13" s="30" t="s">
        <v>83</v>
      </c>
      <c r="C13" s="29" t="s">
        <v>79</v>
      </c>
      <c r="D13" s="29" t="s">
        <v>55</v>
      </c>
      <c r="E13" s="29">
        <v>8</v>
      </c>
      <c r="F13" s="29">
        <v>14</v>
      </c>
      <c r="G13" s="29">
        <v>0.15</v>
      </c>
      <c r="H13" s="29" t="s">
        <v>56</v>
      </c>
      <c r="I13" s="29">
        <v>2</v>
      </c>
      <c r="J13" s="29">
        <v>1</v>
      </c>
      <c r="K13" s="29"/>
      <c r="L13" s="29">
        <v>3</v>
      </c>
      <c r="M13" s="29">
        <v>200</v>
      </c>
      <c r="N13" s="29">
        <v>55</v>
      </c>
      <c r="O13" s="29">
        <v>0.5</v>
      </c>
      <c r="P13" s="29">
        <v>3</v>
      </c>
      <c r="Q13" s="29">
        <v>6</v>
      </c>
      <c r="R13" s="29">
        <v>1.2</v>
      </c>
      <c r="S13" s="29">
        <v>0.02</v>
      </c>
      <c r="T13" s="30" t="s">
        <v>57</v>
      </c>
      <c r="U13" s="31">
        <f t="shared" si="0"/>
        <v>2</v>
      </c>
      <c r="V13" s="31">
        <f t="shared" si="1"/>
        <v>2</v>
      </c>
      <c r="W13" s="31">
        <f t="shared" si="2"/>
        <v>0.5</v>
      </c>
      <c r="X13" s="31">
        <f t="shared" si="3"/>
        <v>11</v>
      </c>
      <c r="Y13" s="31">
        <f t="shared" si="4"/>
        <v>5.5</v>
      </c>
      <c r="Z13" s="31">
        <f>IF(NOT(($C13="是")),1,IF($M13&lt;=0,1,IF(参数区!$B$13&gt;$M13,0,IF(OR(参数区!$B$13&lt;=$N13,$M13&lt;=$N13),1,1-(参数区!$B$13-$N13)/($M13-$N13)*(1-$O13)))))</f>
        <v>0.913793103448276</v>
      </c>
      <c r="AA13" s="31">
        <f>IF(NOT(($C13="是")),1,IF((IF($D13="双持",$L13*1.25,$L13))&lt;=0,1,MIN(1,DEGREES(ATAN((参数区!$B$14/2)/参数区!$B$13))/(IF($D13="双持",$L13*1.25,$L13)))))</f>
        <v>1</v>
      </c>
      <c r="AB13" s="31">
        <f t="shared" si="5"/>
        <v>10.8273311546841</v>
      </c>
      <c r="AC13" s="31">
        <f t="shared" si="6"/>
        <v>5.30245011256468</v>
      </c>
      <c r="AD13" s="31">
        <f t="shared" si="7"/>
        <v>2.42267117212007</v>
      </c>
      <c r="AE13" s="32">
        <f>IF(($H13="锐"),参数区!$B$4,参数区!$B$5)</f>
        <v>12</v>
      </c>
      <c r="AF13" s="32">
        <f t="shared" si="8"/>
        <v>10.2</v>
      </c>
      <c r="AG13" s="32">
        <f>IF(($H13="锐"),参数区!$B$7,参数区!$B$8)</f>
        <v>12</v>
      </c>
      <c r="AH13" s="32">
        <f t="shared" si="9"/>
        <v>10.2</v>
      </c>
      <c r="AI13" s="32">
        <f t="shared" si="10"/>
        <v>10.8273311546841</v>
      </c>
      <c r="AJ13" s="32">
        <f>IF(($H13="锐"),参数区!$B$9,参数区!$B$10)</f>
        <v>4</v>
      </c>
      <c r="AK13" s="32">
        <f t="shared" si="11"/>
        <v>3.4</v>
      </c>
      <c r="AL13" s="33">
        <v>1</v>
      </c>
      <c r="AM13">
        <v>1</v>
      </c>
      <c r="AN13" t="s">
        <v>84</v>
      </c>
      <c r="AO13">
        <f t="shared" si="12"/>
        <v>1</v>
      </c>
      <c r="AP13" s="35">
        <v>350</v>
      </c>
      <c r="AQ13" s="35">
        <v>1</v>
      </c>
    </row>
    <row r="14" ht="34" spans="1:43">
      <c r="A14" s="29" t="s">
        <v>85</v>
      </c>
      <c r="B14" s="30" t="s">
        <v>86</v>
      </c>
      <c r="C14" s="29" t="s">
        <v>79</v>
      </c>
      <c r="D14" s="29" t="s">
        <v>65</v>
      </c>
      <c r="E14" s="29">
        <v>10</v>
      </c>
      <c r="F14" s="29">
        <v>18</v>
      </c>
      <c r="G14" s="29">
        <v>0.18</v>
      </c>
      <c r="H14" s="29" t="s">
        <v>56</v>
      </c>
      <c r="I14" s="29">
        <v>2.6</v>
      </c>
      <c r="J14" s="29">
        <v>3</v>
      </c>
      <c r="K14" s="29">
        <v>0.06</v>
      </c>
      <c r="L14" s="29">
        <v>6</v>
      </c>
      <c r="M14" s="29">
        <v>280</v>
      </c>
      <c r="N14" s="29">
        <v>70</v>
      </c>
      <c r="O14" s="29">
        <v>0.45</v>
      </c>
      <c r="P14" s="29">
        <v>4</v>
      </c>
      <c r="Q14" s="29">
        <v>7</v>
      </c>
      <c r="R14" s="29">
        <v>1.3</v>
      </c>
      <c r="S14" s="29">
        <v>0.02</v>
      </c>
      <c r="T14" s="30" t="s">
        <v>87</v>
      </c>
      <c r="U14" s="31">
        <f t="shared" si="0"/>
        <v>2.26086956521739</v>
      </c>
      <c r="V14" s="31">
        <f t="shared" si="1"/>
        <v>2.38086956521739</v>
      </c>
      <c r="W14" s="31">
        <f t="shared" si="2"/>
        <v>1.26004382761139</v>
      </c>
      <c r="X14" s="31">
        <f t="shared" si="3"/>
        <v>14</v>
      </c>
      <c r="Y14" s="31">
        <f t="shared" si="4"/>
        <v>17.6406135865595</v>
      </c>
      <c r="Z14" s="31">
        <f>IF(NOT(($C14="是")),1,IF($M14&lt;=0,1,IF(参数区!$B$13&gt;$M14,0,IF(OR(参数区!$B$13&lt;=$N14,$M14&lt;=$N14),1,1-(参数区!$B$13-$N14)/($M14-$N14)*(1-$O14)))))</f>
        <v>0.973809523809524</v>
      </c>
      <c r="AA14" s="31">
        <f>IF(NOT(($C14="是")),1,IF((IF($D14="双持",$L14*1.25,$L14))&lt;=0,1,MIN(1,DEGREES(ATAN((参数区!$B$14/2)/参数区!$B$13))/(IF($D14="双持",$L14*1.25,$L14)))))</f>
        <v>1</v>
      </c>
      <c r="AB14" s="31">
        <f t="shared" si="5"/>
        <v>14</v>
      </c>
      <c r="AC14" s="31">
        <f t="shared" si="6"/>
        <v>6.91995238095238</v>
      </c>
      <c r="AD14" s="31">
        <f t="shared" si="7"/>
        <v>8.49107691323425</v>
      </c>
      <c r="AE14" s="32">
        <f>IF(($H14="锐"),参数区!$B$4,参数区!$B$5)</f>
        <v>12</v>
      </c>
      <c r="AF14" s="32">
        <f t="shared" si="8"/>
        <v>9.84</v>
      </c>
      <c r="AG14" s="32">
        <f>IF(($H14="锐"),参数区!$B$7,参数区!$B$8)</f>
        <v>12</v>
      </c>
      <c r="AH14" s="32">
        <f t="shared" si="9"/>
        <v>9.84</v>
      </c>
      <c r="AI14" s="32">
        <f t="shared" si="10"/>
        <v>14</v>
      </c>
      <c r="AJ14" s="32">
        <f>IF(($H14="锐"),参数区!$B$9,参数区!$B$10)</f>
        <v>4</v>
      </c>
      <c r="AK14" s="32">
        <f t="shared" si="11"/>
        <v>3.28</v>
      </c>
      <c r="AL14" s="33">
        <v>3</v>
      </c>
      <c r="AM14">
        <v>1</v>
      </c>
      <c r="AN14" t="s">
        <v>84</v>
      </c>
      <c r="AO14">
        <f t="shared" si="12"/>
        <v>3</v>
      </c>
      <c r="AP14" s="35">
        <v>500</v>
      </c>
      <c r="AQ14" s="35">
        <v>1</v>
      </c>
    </row>
    <row r="15" ht="34" spans="1:43">
      <c r="A15" s="29" t="s">
        <v>88</v>
      </c>
      <c r="B15" s="30" t="s">
        <v>89</v>
      </c>
      <c r="C15" s="29" t="s">
        <v>79</v>
      </c>
      <c r="D15" s="29" t="s">
        <v>65</v>
      </c>
      <c r="E15" s="29">
        <v>20</v>
      </c>
      <c r="F15" s="29">
        <v>35</v>
      </c>
      <c r="G15" s="29">
        <v>0.4</v>
      </c>
      <c r="H15" s="29" t="s">
        <v>56</v>
      </c>
      <c r="I15" s="29">
        <v>2.8</v>
      </c>
      <c r="J15" s="29">
        <v>2</v>
      </c>
      <c r="K15" s="29">
        <v>0.08</v>
      </c>
      <c r="L15" s="29">
        <v>2</v>
      </c>
      <c r="M15" s="29">
        <v>550</v>
      </c>
      <c r="N15" s="29">
        <v>200</v>
      </c>
      <c r="O15" s="29">
        <v>0.6</v>
      </c>
      <c r="P15" s="29">
        <v>6</v>
      </c>
      <c r="Q15" s="29">
        <v>10</v>
      </c>
      <c r="R15" s="29">
        <v>1.5</v>
      </c>
      <c r="S15" s="29">
        <v>0.03</v>
      </c>
      <c r="T15" s="30"/>
      <c r="U15" s="31">
        <f t="shared" si="0"/>
        <v>2.43478260869565</v>
      </c>
      <c r="V15" s="31">
        <f t="shared" si="1"/>
        <v>2.51478260869565</v>
      </c>
      <c r="W15" s="31">
        <f t="shared" si="2"/>
        <v>0.795297372060857</v>
      </c>
      <c r="X15" s="31">
        <f t="shared" si="3"/>
        <v>27.5</v>
      </c>
      <c r="Y15" s="31">
        <f t="shared" si="4"/>
        <v>21.8706777316736</v>
      </c>
      <c r="Z15" s="31">
        <f>IF(NOT(($C15="是")),1,IF($M15&lt;=0,1,IF(参数区!$B$13&gt;$M15,0,IF(OR(参数区!$B$13&lt;=$N15,$M15&lt;=$N15),1,1-(参数区!$B$13-$N15)/($M15-$N15)*(1-$O15)))))</f>
        <v>1</v>
      </c>
      <c r="AA15" s="31">
        <f>IF(NOT(($C15="是")),1,IF((IF($D15="双持",$L15*1.25,$L15))&lt;=0,1,MIN(1,DEGREES(ATAN((参数区!$B$14/2)/参数区!$B$13))/(IF($D15="双持",$L15*1.25,$L15)))))</f>
        <v>1</v>
      </c>
      <c r="AB15" s="31">
        <f t="shared" si="5"/>
        <v>27.5</v>
      </c>
      <c r="AC15" s="31">
        <f t="shared" si="6"/>
        <v>13.7281818181818</v>
      </c>
      <c r="AD15" s="31">
        <f t="shared" si="7"/>
        <v>10.9179869231736</v>
      </c>
      <c r="AE15" s="32">
        <f>IF(($H15="锐"),参数区!$B$4,参数区!$B$5)</f>
        <v>12</v>
      </c>
      <c r="AF15" s="32">
        <f t="shared" si="8"/>
        <v>7.2</v>
      </c>
      <c r="AG15" s="32">
        <f>IF(($H15="锐"),参数区!$B$7,参数区!$B$8)</f>
        <v>12</v>
      </c>
      <c r="AH15" s="32">
        <f t="shared" si="9"/>
        <v>7.2</v>
      </c>
      <c r="AI15" s="32">
        <f t="shared" si="10"/>
        <v>27.5</v>
      </c>
      <c r="AJ15" s="32">
        <f>IF(($H15="锐"),参数区!$B$9,参数区!$B$10)</f>
        <v>4</v>
      </c>
      <c r="AK15" s="32">
        <f t="shared" si="11"/>
        <v>2.4</v>
      </c>
      <c r="AL15" s="33">
        <v>4</v>
      </c>
      <c r="AM15">
        <v>1</v>
      </c>
      <c r="AN15" t="s">
        <v>81</v>
      </c>
      <c r="AO15">
        <f t="shared" si="12"/>
        <v>2</v>
      </c>
      <c r="AP15" s="35">
        <v>600</v>
      </c>
      <c r="AQ15" s="35">
        <v>1</v>
      </c>
    </row>
    <row r="16" ht="34" spans="1:43">
      <c r="A16" s="29" t="s">
        <v>90</v>
      </c>
      <c r="B16" s="30" t="s">
        <v>91</v>
      </c>
      <c r="C16" s="29" t="s">
        <v>79</v>
      </c>
      <c r="D16" s="29" t="s">
        <v>65</v>
      </c>
      <c r="E16" s="29">
        <v>16</v>
      </c>
      <c r="F16" s="29">
        <v>28</v>
      </c>
      <c r="G16" s="29">
        <v>0.16</v>
      </c>
      <c r="H16" s="29" t="s">
        <v>56</v>
      </c>
      <c r="I16" s="29">
        <v>4.5</v>
      </c>
      <c r="J16" s="29">
        <v>1</v>
      </c>
      <c r="K16" s="29"/>
      <c r="L16" s="29">
        <v>3</v>
      </c>
      <c r="M16" s="29">
        <v>420</v>
      </c>
      <c r="N16" s="29">
        <v>160</v>
      </c>
      <c r="O16" s="29">
        <v>0.55</v>
      </c>
      <c r="P16" s="29">
        <v>6</v>
      </c>
      <c r="Q16" s="29">
        <v>10</v>
      </c>
      <c r="R16" s="29">
        <v>1.6</v>
      </c>
      <c r="S16" s="29">
        <v>0.03</v>
      </c>
      <c r="T16" s="30" t="s">
        <v>92</v>
      </c>
      <c r="U16" s="31">
        <f t="shared" si="0"/>
        <v>3.91304347826087</v>
      </c>
      <c r="V16" s="31">
        <f t="shared" si="1"/>
        <v>3.91304347826087</v>
      </c>
      <c r="W16" s="31">
        <f t="shared" si="2"/>
        <v>0.255555555555556</v>
      </c>
      <c r="X16" s="31">
        <f t="shared" si="3"/>
        <v>22</v>
      </c>
      <c r="Y16" s="31">
        <f t="shared" si="4"/>
        <v>5.62222222222222</v>
      </c>
      <c r="Z16" s="31">
        <f>IF(NOT(($C16="是")),1,IF($M16&lt;=0,1,IF(参数区!$B$13&gt;$M16,0,IF(OR(参数区!$B$13&lt;=$N16,$M16&lt;=$N16),1,1-(参数区!$B$13-$N16)/($M16-$N16)*(1-$O16)))))</f>
        <v>1</v>
      </c>
      <c r="AA16" s="31">
        <f>IF(NOT(($C16="是")),1,IF((IF($D16="双持",$L16*1.25,$L16))&lt;=0,1,MIN(1,DEGREES(ATAN((参数区!$B$14/2)/参数区!$B$13))/(IF($D16="双持",$L16*1.25,$L16)))))</f>
        <v>1</v>
      </c>
      <c r="AB16" s="31">
        <f t="shared" si="5"/>
        <v>22</v>
      </c>
      <c r="AC16" s="31">
        <f t="shared" si="6"/>
        <v>10.9465454545455</v>
      </c>
      <c r="AD16" s="31">
        <f t="shared" si="7"/>
        <v>2.7974505050505</v>
      </c>
      <c r="AE16" s="32">
        <f>IF(($H16="锐"),参数区!$B$4,参数区!$B$5)</f>
        <v>12</v>
      </c>
      <c r="AF16" s="32">
        <f t="shared" si="8"/>
        <v>10.08</v>
      </c>
      <c r="AG16" s="32">
        <f>IF(($H16="锐"),参数区!$B$7,参数区!$B$8)</f>
        <v>12</v>
      </c>
      <c r="AH16" s="32">
        <f t="shared" si="9"/>
        <v>10.08</v>
      </c>
      <c r="AI16" s="32">
        <f t="shared" si="10"/>
        <v>22</v>
      </c>
      <c r="AJ16" s="32">
        <f>IF(($H16="锐"),参数区!$B$9,参数区!$B$10)</f>
        <v>4</v>
      </c>
      <c r="AK16" s="32">
        <f t="shared" si="11"/>
        <v>3.36</v>
      </c>
      <c r="AL16" s="33">
        <v>3.5</v>
      </c>
      <c r="AM16">
        <v>1</v>
      </c>
      <c r="AN16" t="s">
        <v>81</v>
      </c>
      <c r="AO16">
        <f t="shared" si="12"/>
        <v>1</v>
      </c>
      <c r="AP16" s="35">
        <v>550</v>
      </c>
      <c r="AQ16" s="35">
        <v>1</v>
      </c>
    </row>
    <row r="17" ht="34" spans="1:43">
      <c r="A17" s="29" t="s">
        <v>93</v>
      </c>
      <c r="B17" s="30" t="s">
        <v>94</v>
      </c>
      <c r="C17" s="29" t="s">
        <v>79</v>
      </c>
      <c r="D17" s="29" t="s">
        <v>65</v>
      </c>
      <c r="E17" s="29">
        <v>40</v>
      </c>
      <c r="F17" s="29">
        <v>70</v>
      </c>
      <c r="G17" s="29">
        <v>0.7</v>
      </c>
      <c r="H17" s="29" t="s">
        <v>56</v>
      </c>
      <c r="I17" s="29">
        <v>5</v>
      </c>
      <c r="J17" s="29">
        <v>1</v>
      </c>
      <c r="K17" s="29"/>
      <c r="L17" s="29">
        <v>0.5</v>
      </c>
      <c r="M17" s="29">
        <v>900</v>
      </c>
      <c r="N17" s="29">
        <v>450</v>
      </c>
      <c r="O17" s="29">
        <v>0.8</v>
      </c>
      <c r="P17" s="29">
        <v>6</v>
      </c>
      <c r="Q17" s="29">
        <v>11</v>
      </c>
      <c r="R17" s="29">
        <v>1.6</v>
      </c>
      <c r="S17" s="29">
        <v>0.03</v>
      </c>
      <c r="T17" s="30" t="s">
        <v>95</v>
      </c>
      <c r="U17" s="31">
        <f t="shared" si="0"/>
        <v>4.34782608695652</v>
      </c>
      <c r="V17" s="31">
        <f t="shared" si="1"/>
        <v>4.34782608695652</v>
      </c>
      <c r="W17" s="31">
        <f t="shared" si="2"/>
        <v>0.23</v>
      </c>
      <c r="X17" s="31">
        <f t="shared" si="3"/>
        <v>55</v>
      </c>
      <c r="Y17" s="31">
        <f t="shared" si="4"/>
        <v>12.65</v>
      </c>
      <c r="Z17" s="31">
        <f>IF(NOT(($C17="是")),1,IF($M17&lt;=0,1,IF(参数区!$B$13&gt;$M17,0,IF(OR(参数区!$B$13&lt;=$N17,$M17&lt;=$N17),1,1-(参数区!$B$13-$N17)/($M17-$N17)*(1-$O17)))))</f>
        <v>1</v>
      </c>
      <c r="AA17" s="31">
        <f>IF(NOT(($C17="是")),1,IF((IF($D17="双持",$L17*1.25,$L17))&lt;=0,1,MIN(1,DEGREES(ATAN((参数区!$B$14/2)/参数区!$B$13))/(IF($D17="双持",$L17*1.25,$L17)))))</f>
        <v>1</v>
      </c>
      <c r="AB17" s="31">
        <f t="shared" si="5"/>
        <v>55</v>
      </c>
      <c r="AC17" s="31">
        <f t="shared" si="6"/>
        <v>27.4972727272727</v>
      </c>
      <c r="AD17" s="31">
        <f t="shared" si="7"/>
        <v>6.32437272727273</v>
      </c>
      <c r="AE17" s="32">
        <f>IF(($H17="锐"),参数区!$B$4,参数区!$B$5)</f>
        <v>12</v>
      </c>
      <c r="AF17" s="32">
        <f t="shared" si="8"/>
        <v>3.6</v>
      </c>
      <c r="AG17" s="32">
        <f>IF(($H17="锐"),参数区!$B$7,参数区!$B$8)</f>
        <v>12</v>
      </c>
      <c r="AH17" s="32">
        <f t="shared" si="9"/>
        <v>3.6</v>
      </c>
      <c r="AI17" s="32">
        <f t="shared" si="10"/>
        <v>55</v>
      </c>
      <c r="AJ17" s="32">
        <f>IF(($H17="锐"),参数区!$B$9,参数区!$B$10)</f>
        <v>4</v>
      </c>
      <c r="AK17" s="32">
        <f t="shared" si="11"/>
        <v>1.2</v>
      </c>
      <c r="AL17" s="33">
        <v>5.5</v>
      </c>
      <c r="AM17">
        <v>1</v>
      </c>
      <c r="AN17" t="s">
        <v>96</v>
      </c>
      <c r="AO17">
        <f t="shared" si="12"/>
        <v>1</v>
      </c>
      <c r="AP17" s="35">
        <v>700</v>
      </c>
      <c r="AQ17" s="35">
        <v>1</v>
      </c>
    </row>
    <row r="18" ht="168" spans="1:43">
      <c r="A18" s="29" t="s">
        <v>97</v>
      </c>
      <c r="B18" s="30" t="s">
        <v>98</v>
      </c>
      <c r="C18" s="29" t="s">
        <v>79</v>
      </c>
      <c r="D18" s="29" t="s">
        <v>65</v>
      </c>
      <c r="E18" s="29">
        <v>1</v>
      </c>
      <c r="F18" s="29">
        <v>5</v>
      </c>
      <c r="G18" s="29">
        <v>0.1</v>
      </c>
      <c r="H18" s="29" t="s">
        <v>56</v>
      </c>
      <c r="I18" s="29">
        <v>4</v>
      </c>
      <c r="J18" s="29">
        <v>1</v>
      </c>
      <c r="K18" s="29"/>
      <c r="L18" s="29">
        <v>18</v>
      </c>
      <c r="M18" s="29">
        <v>90</v>
      </c>
      <c r="N18" s="29">
        <v>18</v>
      </c>
      <c r="O18" s="29">
        <v>0.2</v>
      </c>
      <c r="P18" s="29">
        <v>4</v>
      </c>
      <c r="Q18" s="29">
        <v>7</v>
      </c>
      <c r="R18" s="29">
        <v>1.5</v>
      </c>
      <c r="S18" s="29">
        <v>0.02</v>
      </c>
      <c r="T18" s="30" t="s">
        <v>99</v>
      </c>
      <c r="U18" s="31">
        <f t="shared" si="0"/>
        <v>3.47826086956522</v>
      </c>
      <c r="V18" s="31">
        <f t="shared" si="1"/>
        <v>3.47826086956522</v>
      </c>
      <c r="W18" s="31">
        <f t="shared" si="2"/>
        <v>0.2875</v>
      </c>
      <c r="X18" s="31">
        <f t="shared" si="3"/>
        <v>3</v>
      </c>
      <c r="Y18" s="31">
        <f t="shared" si="4"/>
        <v>6.9</v>
      </c>
      <c r="Z18" s="31">
        <f>IF(NOT(($C18="是")),1,IF($M18&lt;=0,1,IF(参数区!$B$13&gt;$M18,0,IF(OR(参数区!$B$13&lt;=$N18,$M18&lt;=$N18),1,1-(参数区!$B$13-$N18)/($M18-$N18)*(1-$O18)))))</f>
        <v>0.311111111111111</v>
      </c>
      <c r="AA18" s="31">
        <f>IF(NOT(($C18="是")),1,IF((IF($D18="双持",$L18*1.25,$L18))&lt;=0,1,MIN(1,DEGREES(ATAN((参数区!$B$14/2)/参数区!$B$13))/(IF($D18="双持",$L18*1.25,$L18)))))</f>
        <v>0.473931422774896</v>
      </c>
      <c r="AB18" s="31">
        <f t="shared" si="5"/>
        <v>1.43518518518519</v>
      </c>
      <c r="AC18" s="31">
        <f t="shared" si="6"/>
        <v>0.286077293857644</v>
      </c>
      <c r="AD18" s="31">
        <f t="shared" si="7"/>
        <v>0.0970157513028834</v>
      </c>
      <c r="AE18" s="32">
        <f>IF(($H18="锐"),参数区!$B$4,参数区!$B$5)</f>
        <v>12</v>
      </c>
      <c r="AF18" s="32">
        <f t="shared" si="8"/>
        <v>10.8</v>
      </c>
      <c r="AG18" s="32">
        <f>IF(($H18="锐"),参数区!$B$7,参数区!$B$8)</f>
        <v>12</v>
      </c>
      <c r="AH18" s="32">
        <f t="shared" si="9"/>
        <v>10.8</v>
      </c>
      <c r="AI18" s="32">
        <f t="shared" si="10"/>
        <v>1.43518518518519</v>
      </c>
      <c r="AJ18" s="32">
        <f>IF(($H18="锐"),参数区!$B$9,参数区!$B$10)</f>
        <v>4</v>
      </c>
      <c r="AK18" s="32">
        <f t="shared" si="11"/>
        <v>3.6</v>
      </c>
      <c r="AL18" s="33">
        <v>3.2</v>
      </c>
      <c r="AM18">
        <v>8</v>
      </c>
      <c r="AN18" t="s">
        <v>100</v>
      </c>
      <c r="AO18">
        <f t="shared" si="12"/>
        <v>1</v>
      </c>
      <c r="AP18" s="35">
        <v>550</v>
      </c>
      <c r="AQ18" s="35">
        <v>1</v>
      </c>
    </row>
    <row r="19" ht="84" spans="1:43">
      <c r="A19" s="29" t="s">
        <v>101</v>
      </c>
      <c r="B19" s="30" t="s">
        <v>102</v>
      </c>
      <c r="C19" s="29" t="s">
        <v>79</v>
      </c>
      <c r="D19" s="29" t="s">
        <v>65</v>
      </c>
      <c r="E19" s="29">
        <v>1</v>
      </c>
      <c r="F19" s="29">
        <v>18</v>
      </c>
      <c r="G19" s="29">
        <v>0.3</v>
      </c>
      <c r="H19" s="29" t="s">
        <v>56</v>
      </c>
      <c r="I19" s="29">
        <v>3.2</v>
      </c>
      <c r="J19" s="29">
        <v>1</v>
      </c>
      <c r="K19" s="29"/>
      <c r="L19" s="29">
        <v>5</v>
      </c>
      <c r="M19" s="29">
        <v>220</v>
      </c>
      <c r="N19" s="29">
        <v>90</v>
      </c>
      <c r="O19" s="29">
        <v>0.7</v>
      </c>
      <c r="P19" s="29"/>
      <c r="Q19" s="29"/>
      <c r="R19" s="29"/>
      <c r="S19" s="29"/>
      <c r="T19" s="30" t="s">
        <v>103</v>
      </c>
      <c r="U19" s="31">
        <f t="shared" si="0"/>
        <v>2.78260869565217</v>
      </c>
      <c r="V19" s="31">
        <f t="shared" si="1"/>
        <v>2.78260869565217</v>
      </c>
      <c r="W19" s="31">
        <f t="shared" si="2"/>
        <v>0.359375</v>
      </c>
      <c r="X19" s="31">
        <f t="shared" si="3"/>
        <v>9.5</v>
      </c>
      <c r="Y19" s="31">
        <f t="shared" si="4"/>
        <v>3.4140625</v>
      </c>
      <c r="Z19" s="31">
        <f>IF(NOT(($C19="是")),1,IF($M19&lt;=0,1,IF(参数区!$B$13&gt;$M19,0,IF(OR(参数区!$B$13&lt;=$N19,$M19&lt;=$N19),1,1-(参数区!$B$13-$N19)/($M19-$N19)*(1-$O19)))))</f>
        <v>1</v>
      </c>
      <c r="AA19" s="31">
        <f>IF(NOT(($C19="是")),1,IF((IF($D19="双持",$L19*1.25,$L19))&lt;=0,1,MIN(1,DEGREES(ATAN((参数区!$B$14/2)/参数区!$B$13))/(IF($D19="双持",$L19*1.25,$L19)))))</f>
        <v>1</v>
      </c>
      <c r="AB19" s="31">
        <f t="shared" si="5"/>
        <v>9.09355742296919</v>
      </c>
      <c r="AC19" s="31">
        <f t="shared" si="6"/>
        <v>4.45697154046439</v>
      </c>
      <c r="AD19" s="31">
        <f t="shared" si="7"/>
        <v>1.60172414735439</v>
      </c>
      <c r="AE19" s="32">
        <f>IF(($H19="锐"),参数区!$B$4,参数区!$B$5)</f>
        <v>12</v>
      </c>
      <c r="AF19" s="32">
        <f t="shared" si="8"/>
        <v>8.4</v>
      </c>
      <c r="AG19" s="32">
        <f>IF(($H19="锐"),参数区!$B$7,参数区!$B$8)</f>
        <v>12</v>
      </c>
      <c r="AH19" s="32">
        <f t="shared" si="9"/>
        <v>8.4</v>
      </c>
      <c r="AI19" s="32">
        <f t="shared" si="10"/>
        <v>9.09355742296919</v>
      </c>
      <c r="AJ19" s="32">
        <f>IF(($H19="锐"),参数区!$B$9,参数区!$B$10)</f>
        <v>4</v>
      </c>
      <c r="AK19" s="32">
        <f t="shared" si="11"/>
        <v>2.8</v>
      </c>
      <c r="AL19" s="33"/>
      <c r="AM19">
        <v>1</v>
      </c>
      <c r="AN19" t="s">
        <v>104</v>
      </c>
      <c r="AO19">
        <f t="shared" si="12"/>
        <v>1</v>
      </c>
      <c r="AP19" s="36">
        <v>70</v>
      </c>
      <c r="AQ19" s="36">
        <v>0.1</v>
      </c>
    </row>
    <row r="20" ht="51" spans="1:43">
      <c r="A20" s="29" t="s">
        <v>105</v>
      </c>
      <c r="B20" s="30" t="s">
        <v>106</v>
      </c>
      <c r="C20" s="29" t="s">
        <v>79</v>
      </c>
      <c r="D20" s="29" t="s">
        <v>65</v>
      </c>
      <c r="E20" s="29">
        <v>1</v>
      </c>
      <c r="F20" s="29">
        <v>26</v>
      </c>
      <c r="G20" s="29">
        <v>0.4</v>
      </c>
      <c r="H20" s="29" t="s">
        <v>56</v>
      </c>
      <c r="I20" s="29">
        <v>3.8</v>
      </c>
      <c r="J20" s="29">
        <v>1</v>
      </c>
      <c r="K20" s="29"/>
      <c r="L20" s="29">
        <v>4</v>
      </c>
      <c r="M20" s="29">
        <v>300</v>
      </c>
      <c r="N20" s="29">
        <v>120</v>
      </c>
      <c r="O20" s="29">
        <v>0.72</v>
      </c>
      <c r="P20" s="29"/>
      <c r="Q20" s="29"/>
      <c r="R20" s="29"/>
      <c r="S20" s="29"/>
      <c r="T20" s="30" t="s">
        <v>103</v>
      </c>
      <c r="U20" s="31">
        <f t="shared" si="0"/>
        <v>3.30434782608696</v>
      </c>
      <c r="V20" s="31">
        <f t="shared" si="1"/>
        <v>3.30434782608696</v>
      </c>
      <c r="W20" s="31">
        <f t="shared" si="2"/>
        <v>0.302631578947368</v>
      </c>
      <c r="X20" s="31">
        <f t="shared" si="3"/>
        <v>13.5</v>
      </c>
      <c r="Y20" s="31">
        <f t="shared" si="4"/>
        <v>4.08552631578947</v>
      </c>
      <c r="Z20" s="31">
        <f>IF(NOT(($C20="是")),1,IF($M20&lt;=0,1,IF(参数区!$B$13&gt;$M20,0,IF(OR(参数区!$B$13&lt;=$N20,$M20&lt;=$N20),1,1-(参数区!$B$13-$N20)/($M20-$N20)*(1-$O20)))))</f>
        <v>1</v>
      </c>
      <c r="AA20" s="31">
        <f>IF(NOT(($C20="是")),1,IF((IF($D20="双持",$L20*1.25,$L20))&lt;=0,1,MIN(1,DEGREES(ATAN((参数区!$B$14/2)/参数区!$B$13))/(IF($D20="双持",$L20*1.25,$L20)))))</f>
        <v>1</v>
      </c>
      <c r="AB20" s="31">
        <f t="shared" si="5"/>
        <v>13.3012222222222</v>
      </c>
      <c r="AC20" s="31">
        <f t="shared" si="6"/>
        <v>6.60550247447789</v>
      </c>
      <c r="AD20" s="31">
        <f t="shared" si="7"/>
        <v>1.99903364359199</v>
      </c>
      <c r="AE20" s="32">
        <f>IF(($H20="锐"),参数区!$B$4,参数区!$B$5)</f>
        <v>12</v>
      </c>
      <c r="AF20" s="32">
        <f t="shared" si="8"/>
        <v>7.2</v>
      </c>
      <c r="AG20" s="32">
        <f>IF(($H20="锐"),参数区!$B$7,参数区!$B$8)</f>
        <v>12</v>
      </c>
      <c r="AH20" s="32">
        <f t="shared" si="9"/>
        <v>7.2</v>
      </c>
      <c r="AI20" s="32">
        <f t="shared" si="10"/>
        <v>13.3012222222222</v>
      </c>
      <c r="AJ20" s="32">
        <f>IF(($H20="锐"),参数区!$B$9,参数区!$B$10)</f>
        <v>4</v>
      </c>
      <c r="AK20" s="32">
        <f t="shared" si="11"/>
        <v>2.4</v>
      </c>
      <c r="AL20" s="33"/>
      <c r="AM20">
        <v>1</v>
      </c>
      <c r="AN20" t="s">
        <v>104</v>
      </c>
      <c r="AO20">
        <f t="shared" si="12"/>
        <v>1</v>
      </c>
      <c r="AP20" s="36">
        <v>70</v>
      </c>
      <c r="AQ20" s="36">
        <v>0.1</v>
      </c>
    </row>
    <row r="21" ht="202" spans="1:43">
      <c r="A21" s="29" t="s">
        <v>107</v>
      </c>
      <c r="B21" s="30" t="s">
        <v>108</v>
      </c>
      <c r="C21" s="29" t="s">
        <v>79</v>
      </c>
      <c r="D21" s="29" t="s">
        <v>65</v>
      </c>
      <c r="E21" s="29">
        <v>1</v>
      </c>
      <c r="F21" s="29">
        <v>34</v>
      </c>
      <c r="G21" s="29">
        <v>0.5</v>
      </c>
      <c r="H21" s="29" t="s">
        <v>56</v>
      </c>
      <c r="I21" s="29">
        <v>5</v>
      </c>
      <c r="J21" s="29">
        <v>1</v>
      </c>
      <c r="K21" s="29"/>
      <c r="L21" s="29">
        <v>4.5</v>
      </c>
      <c r="M21" s="29">
        <v>480</v>
      </c>
      <c r="N21" s="29">
        <v>200</v>
      </c>
      <c r="O21" s="29">
        <v>0.78</v>
      </c>
      <c r="P21" s="29"/>
      <c r="Q21" s="29"/>
      <c r="R21" s="29"/>
      <c r="S21" s="29"/>
      <c r="T21" s="30" t="s">
        <v>109</v>
      </c>
      <c r="U21" s="31">
        <f t="shared" si="0"/>
        <v>4.34782608695652</v>
      </c>
      <c r="V21" s="31">
        <f t="shared" si="1"/>
        <v>4.34782608695652</v>
      </c>
      <c r="W21" s="31">
        <f t="shared" si="2"/>
        <v>0.23</v>
      </c>
      <c r="X21" s="31">
        <f t="shared" si="3"/>
        <v>17.5</v>
      </c>
      <c r="Y21" s="31">
        <f t="shared" si="4"/>
        <v>4.025</v>
      </c>
      <c r="Z21" s="31">
        <f>IF(NOT(($C21="是")),1,IF($M21&lt;=0,1,IF(参数区!$B$13&gt;$M21,0,IF(OR(参数区!$B$13&lt;=$N21,$M21&lt;=$N21),1,1-(参数区!$B$13-$N21)/($M21-$N21)*(1-$O21)))))</f>
        <v>1</v>
      </c>
      <c r="AA21" s="31">
        <f>IF(NOT(($C21="是")),1,IF((IF($D21="双持",$L21*1.25,$L21))&lt;=0,1,MIN(1,DEGREES(ATAN((参数区!$B$14/2)/参数区!$B$13))/(IF($D21="双持",$L21*1.25,$L21)))))</f>
        <v>1</v>
      </c>
      <c r="AB21" s="31">
        <f t="shared" si="5"/>
        <v>17.3989898989899</v>
      </c>
      <c r="AC21" s="31">
        <f t="shared" si="6"/>
        <v>8.6755471991321</v>
      </c>
      <c r="AD21" s="31">
        <f t="shared" si="7"/>
        <v>1.99537585580038</v>
      </c>
      <c r="AE21" s="32">
        <f>IF(($H21="锐"),参数区!$B$4,参数区!$B$5)</f>
        <v>12</v>
      </c>
      <c r="AF21" s="32">
        <f t="shared" si="8"/>
        <v>6</v>
      </c>
      <c r="AG21" s="32">
        <f>IF(($H21="锐"),参数区!$B$7,参数区!$B$8)</f>
        <v>12</v>
      </c>
      <c r="AH21" s="32">
        <f t="shared" si="9"/>
        <v>6</v>
      </c>
      <c r="AI21" s="32">
        <f t="shared" si="10"/>
        <v>17.3989898989899</v>
      </c>
      <c r="AJ21" s="32">
        <f>IF(($H21="锐"),参数区!$B$9,参数区!$B$10)</f>
        <v>4</v>
      </c>
      <c r="AK21" s="32">
        <f t="shared" si="11"/>
        <v>2</v>
      </c>
      <c r="AL21" s="33"/>
      <c r="AM21">
        <v>1</v>
      </c>
      <c r="AN21" t="s">
        <v>104</v>
      </c>
      <c r="AO21">
        <f t="shared" si="12"/>
        <v>1</v>
      </c>
      <c r="AP21" s="36">
        <v>70</v>
      </c>
      <c r="AQ21" s="36">
        <v>0.1</v>
      </c>
    </row>
    <row r="22" ht="135" spans="1:43">
      <c r="A22" s="29" t="s">
        <v>110</v>
      </c>
      <c r="B22" s="30" t="s">
        <v>111</v>
      </c>
      <c r="C22" s="29" t="s">
        <v>79</v>
      </c>
      <c r="D22" s="29" t="s">
        <v>65</v>
      </c>
      <c r="E22" s="29">
        <v>1</v>
      </c>
      <c r="F22" s="29">
        <v>30</v>
      </c>
      <c r="G22" s="29">
        <v>0.48</v>
      </c>
      <c r="H22" s="29" t="s">
        <v>56</v>
      </c>
      <c r="I22" s="29">
        <v>3.6</v>
      </c>
      <c r="J22" s="29">
        <v>1</v>
      </c>
      <c r="K22" s="29"/>
      <c r="L22" s="29">
        <v>1.5</v>
      </c>
      <c r="M22" s="29">
        <v>380</v>
      </c>
      <c r="N22" s="29">
        <v>170</v>
      </c>
      <c r="O22" s="29">
        <v>0.75</v>
      </c>
      <c r="P22" s="29"/>
      <c r="Q22" s="29"/>
      <c r="R22" s="29"/>
      <c r="S22" s="29"/>
      <c r="T22" s="30" t="s">
        <v>103</v>
      </c>
      <c r="U22" s="31">
        <f t="shared" si="0"/>
        <v>3.1304347826087</v>
      </c>
      <c r="V22" s="31">
        <f t="shared" si="1"/>
        <v>3.1304347826087</v>
      </c>
      <c r="W22" s="31">
        <f t="shared" si="2"/>
        <v>0.319444444444444</v>
      </c>
      <c r="X22" s="31">
        <f t="shared" si="3"/>
        <v>15.5</v>
      </c>
      <c r="Y22" s="31">
        <f t="shared" si="4"/>
        <v>4.95138888888889</v>
      </c>
      <c r="Z22" s="31">
        <f>IF(NOT(($C22="是")),1,IF($M22&lt;=0,1,IF(参数区!$B$13&gt;$M22,0,IF(OR(参数区!$B$13&lt;=$N22,$M22&lt;=$N22),1,1-(参数区!$B$13-$N22)/($M22-$N22)*(1-$O22)))))</f>
        <v>1</v>
      </c>
      <c r="AA22" s="31">
        <f>IF(NOT(($C22="是")),1,IF((IF($D22="双持",$L22*1.25,$L22))&lt;=0,1,MIN(1,DEGREES(ATAN((参数区!$B$14/2)/参数区!$B$13))/(IF($D22="双持",$L22*1.25,$L22)))))</f>
        <v>1</v>
      </c>
      <c r="AB22" s="31">
        <f t="shared" si="5"/>
        <v>15.3746162687887</v>
      </c>
      <c r="AC22" s="31">
        <f t="shared" si="6"/>
        <v>7.65799574969557</v>
      </c>
      <c r="AD22" s="31">
        <f t="shared" si="7"/>
        <v>2.44630419781942</v>
      </c>
      <c r="AE22" s="32">
        <f>IF(($H22="锐"),参数区!$B$4,参数区!$B$5)</f>
        <v>12</v>
      </c>
      <c r="AF22" s="32">
        <f t="shared" si="8"/>
        <v>6.24</v>
      </c>
      <c r="AG22" s="32">
        <f>IF(($H22="锐"),参数区!$B$7,参数区!$B$8)</f>
        <v>12</v>
      </c>
      <c r="AH22" s="32">
        <f t="shared" si="9"/>
        <v>6.24</v>
      </c>
      <c r="AI22" s="32">
        <f t="shared" si="10"/>
        <v>15.3746162687887</v>
      </c>
      <c r="AJ22" s="32">
        <f>IF(($H22="锐"),参数区!$B$9,参数区!$B$10)</f>
        <v>4</v>
      </c>
      <c r="AK22" s="32">
        <f t="shared" si="11"/>
        <v>2.08</v>
      </c>
      <c r="AL22" s="33"/>
      <c r="AM22">
        <v>1</v>
      </c>
      <c r="AN22" t="s">
        <v>104</v>
      </c>
      <c r="AO22">
        <f t="shared" si="12"/>
        <v>1</v>
      </c>
      <c r="AP22" s="36">
        <v>65</v>
      </c>
      <c r="AQ22" s="36">
        <v>0.1</v>
      </c>
    </row>
    <row r="23" ht="68" spans="1:43">
      <c r="A23" s="29" t="s">
        <v>112</v>
      </c>
      <c r="B23" s="30" t="s">
        <v>113</v>
      </c>
      <c r="C23" s="29" t="s">
        <v>79</v>
      </c>
      <c r="D23" s="29" t="s">
        <v>65</v>
      </c>
      <c r="E23" s="29">
        <v>1</v>
      </c>
      <c r="F23" s="29">
        <v>38</v>
      </c>
      <c r="G23" s="29">
        <v>0.55</v>
      </c>
      <c r="H23" s="29" t="s">
        <v>56</v>
      </c>
      <c r="I23" s="29">
        <v>4.2</v>
      </c>
      <c r="J23" s="29">
        <v>1</v>
      </c>
      <c r="K23" s="29"/>
      <c r="L23" s="29">
        <v>3</v>
      </c>
      <c r="M23" s="29">
        <v>420</v>
      </c>
      <c r="N23" s="29">
        <v>180</v>
      </c>
      <c r="O23" s="29">
        <v>0.8</v>
      </c>
      <c r="P23" s="29"/>
      <c r="Q23" s="29"/>
      <c r="R23" s="29"/>
      <c r="S23" s="29"/>
      <c r="T23" s="30" t="s">
        <v>103</v>
      </c>
      <c r="U23" s="31">
        <f t="shared" si="0"/>
        <v>3.65217391304348</v>
      </c>
      <c r="V23" s="31">
        <f t="shared" si="1"/>
        <v>3.65217391304348</v>
      </c>
      <c r="W23" s="31">
        <f t="shared" si="2"/>
        <v>0.273809523809524</v>
      </c>
      <c r="X23" s="31">
        <f t="shared" si="3"/>
        <v>19.5</v>
      </c>
      <c r="Y23" s="31">
        <f t="shared" si="4"/>
        <v>5.33928571428571</v>
      </c>
      <c r="Z23" s="31">
        <f>IF(NOT(($C23="是")),1,IF($M23&lt;=0,1,IF(参数区!$B$13&gt;$M23,0,IF(OR(参数区!$B$13&lt;=$N23,$M23&lt;=$N23),1,1-(参数区!$B$13-$N23)/($M23-$N23)*(1-$O23)))))</f>
        <v>1</v>
      </c>
      <c r="AA23" s="31">
        <f>IF(NOT(($C23="是")),1,IF((IF($D23="双持",$L23*1.25,$L23))&lt;=0,1,MIN(1,DEGREES(ATAN((参数区!$B$14/2)/参数区!$B$13))/(IF($D23="双持",$L23*1.25,$L23)))))</f>
        <v>1</v>
      </c>
      <c r="AB23" s="31">
        <f t="shared" si="5"/>
        <v>19.4289164164164</v>
      </c>
      <c r="AC23" s="31">
        <f t="shared" si="6"/>
        <v>9.69708719313117</v>
      </c>
      <c r="AD23" s="31">
        <f t="shared" si="7"/>
        <v>2.65515482669068</v>
      </c>
      <c r="AE23" s="32">
        <f>IF(($H23="锐"),参数区!$B$4,参数区!$B$5)</f>
        <v>12</v>
      </c>
      <c r="AF23" s="32">
        <f t="shared" si="8"/>
        <v>5.4</v>
      </c>
      <c r="AG23" s="32">
        <f>IF(($H23="锐"),参数区!$B$7,参数区!$B$8)</f>
        <v>12</v>
      </c>
      <c r="AH23" s="32">
        <f t="shared" si="9"/>
        <v>5.4</v>
      </c>
      <c r="AI23" s="32">
        <f t="shared" si="10"/>
        <v>19.4289164164164</v>
      </c>
      <c r="AJ23" s="32">
        <f>IF(($H23="锐"),参数区!$B$9,参数区!$B$10)</f>
        <v>4</v>
      </c>
      <c r="AK23" s="32">
        <f t="shared" si="11"/>
        <v>1.8</v>
      </c>
      <c r="AL23" s="33"/>
      <c r="AM23">
        <v>1</v>
      </c>
      <c r="AN23" t="s">
        <v>104</v>
      </c>
      <c r="AO23">
        <f t="shared" si="12"/>
        <v>1</v>
      </c>
      <c r="AP23" s="36">
        <v>70</v>
      </c>
      <c r="AQ23" s="36">
        <v>0.1</v>
      </c>
    </row>
    <row r="24" ht="68" spans="1:43">
      <c r="A24" s="29" t="s">
        <v>114</v>
      </c>
      <c r="B24" s="30" t="s">
        <v>115</v>
      </c>
      <c r="C24" s="29" t="s">
        <v>79</v>
      </c>
      <c r="D24" s="29" t="s">
        <v>55</v>
      </c>
      <c r="E24" s="29">
        <v>1</v>
      </c>
      <c r="F24" s="29">
        <v>16</v>
      </c>
      <c r="G24" s="29">
        <v>0.35</v>
      </c>
      <c r="H24" s="29" t="s">
        <v>56</v>
      </c>
      <c r="I24" s="29">
        <v>4</v>
      </c>
      <c r="J24" s="29">
        <v>1</v>
      </c>
      <c r="K24" s="29"/>
      <c r="L24" s="29">
        <v>3</v>
      </c>
      <c r="M24" s="29">
        <v>180</v>
      </c>
      <c r="N24" s="29">
        <v>70</v>
      </c>
      <c r="O24" s="29">
        <v>0.65</v>
      </c>
      <c r="P24" s="29"/>
      <c r="Q24" s="29"/>
      <c r="R24" s="29"/>
      <c r="S24" s="29"/>
      <c r="T24" s="30" t="s">
        <v>116</v>
      </c>
      <c r="U24" s="31">
        <f t="shared" si="0"/>
        <v>4</v>
      </c>
      <c r="V24" s="31">
        <f t="shared" si="1"/>
        <v>4</v>
      </c>
      <c r="W24" s="31">
        <f t="shared" si="2"/>
        <v>0.25</v>
      </c>
      <c r="X24" s="31">
        <f t="shared" si="3"/>
        <v>8.5</v>
      </c>
      <c r="Y24" s="31">
        <f t="shared" si="4"/>
        <v>2.125</v>
      </c>
      <c r="Z24" s="31">
        <f>IF(NOT(($C24="是")),1,IF($M24&lt;=0,1,IF(参数区!$B$13&gt;$M24,0,IF(OR(参数区!$B$13&lt;=$N24,$M24&lt;=$N24),1,1-(参数区!$B$13-$N24)/($M24-$N24)*(1-$O24)))))</f>
        <v>0.968181818181818</v>
      </c>
      <c r="AA24" s="31">
        <f>IF(NOT(($C24="是")),1,IF((IF($D24="双持",$L24*1.25,$L24))&lt;=0,1,MIN(1,DEGREES(ATAN((参数区!$B$14/2)/参数区!$B$13))/(IF($D24="双持",$L24*1.25,$L24)))))</f>
        <v>1</v>
      </c>
      <c r="AB24" s="31">
        <f t="shared" si="5"/>
        <v>8.10655982905983</v>
      </c>
      <c r="AC24" s="31">
        <f t="shared" si="6"/>
        <v>3.96641610527973</v>
      </c>
      <c r="AD24" s="31">
        <f t="shared" si="7"/>
        <v>0.960052989118844</v>
      </c>
      <c r="AE24" s="32">
        <f>IF(($H24="锐"),参数区!$B$4,参数区!$B$5)</f>
        <v>12</v>
      </c>
      <c r="AF24" s="32">
        <f t="shared" si="8"/>
        <v>7.8</v>
      </c>
      <c r="AG24" s="32">
        <f>IF(($H24="锐"),参数区!$B$7,参数区!$B$8)</f>
        <v>12</v>
      </c>
      <c r="AH24" s="32">
        <f t="shared" si="9"/>
        <v>7.8</v>
      </c>
      <c r="AI24" s="32">
        <f t="shared" si="10"/>
        <v>8.10655982905983</v>
      </c>
      <c r="AJ24" s="32">
        <f>IF(($H24="锐"),参数区!$B$9,参数区!$B$10)</f>
        <v>4</v>
      </c>
      <c r="AK24" s="32">
        <f t="shared" si="11"/>
        <v>2.6</v>
      </c>
      <c r="AL24" s="33"/>
      <c r="AM24">
        <v>1</v>
      </c>
      <c r="AN24" t="s">
        <v>104</v>
      </c>
      <c r="AO24">
        <f t="shared" si="12"/>
        <v>1</v>
      </c>
      <c r="AP24" s="36">
        <v>55</v>
      </c>
      <c r="AQ24" s="36">
        <v>0.1</v>
      </c>
    </row>
    <row r="25" ht="68" spans="1:43">
      <c r="A25" s="29" t="s">
        <v>117</v>
      </c>
      <c r="B25" s="30" t="s">
        <v>118</v>
      </c>
      <c r="C25" s="29" t="s">
        <v>79</v>
      </c>
      <c r="D25" s="29" t="s">
        <v>65</v>
      </c>
      <c r="E25" s="29">
        <v>1</v>
      </c>
      <c r="F25" s="29">
        <v>36</v>
      </c>
      <c r="G25" s="29">
        <v>0.65</v>
      </c>
      <c r="H25" s="29" t="s">
        <v>56</v>
      </c>
      <c r="I25" s="29">
        <v>6</v>
      </c>
      <c r="J25" s="29">
        <v>1</v>
      </c>
      <c r="K25" s="29"/>
      <c r="L25" s="29">
        <v>2.5</v>
      </c>
      <c r="M25" s="29">
        <v>320</v>
      </c>
      <c r="N25" s="29">
        <v>140</v>
      </c>
      <c r="O25" s="29">
        <v>0.75</v>
      </c>
      <c r="P25" s="29"/>
      <c r="Q25" s="29"/>
      <c r="R25" s="29"/>
      <c r="S25" s="29"/>
      <c r="T25" s="30" t="s">
        <v>103</v>
      </c>
      <c r="U25" s="31">
        <f t="shared" si="0"/>
        <v>5.21739130434783</v>
      </c>
      <c r="V25" s="31">
        <f t="shared" si="1"/>
        <v>5.21739130434783</v>
      </c>
      <c r="W25" s="31">
        <f t="shared" si="2"/>
        <v>0.191666666666667</v>
      </c>
      <c r="X25" s="31">
        <f t="shared" si="3"/>
        <v>18.5</v>
      </c>
      <c r="Y25" s="31">
        <f t="shared" si="4"/>
        <v>3.54583333333333</v>
      </c>
      <c r="Z25" s="31">
        <f>IF(NOT(($C25="是")),1,IF($M25&lt;=0,1,IF(参数区!$B$13&gt;$M25,0,IF(OR(参数区!$B$13&lt;=$N25,$M25&lt;=$N25),1,1-(参数区!$B$13-$N25)/($M25-$N25)*(1-$O25)))))</f>
        <v>1</v>
      </c>
      <c r="AA25" s="31">
        <f>IF(NOT(($C25="是")),1,IF((IF($D25="双持",$L25*1.25,$L25))&lt;=0,1,MIN(1,DEGREES(ATAN((参数区!$B$14/2)/参数区!$B$13))/(IF($D25="双持",$L25*1.25,$L25)))))</f>
        <v>1</v>
      </c>
      <c r="AB25" s="31">
        <f t="shared" si="5"/>
        <v>18.4583843537415</v>
      </c>
      <c r="AC25" s="31">
        <f t="shared" si="6"/>
        <v>9.2181312593628</v>
      </c>
      <c r="AD25" s="31">
        <f t="shared" si="7"/>
        <v>1.76680849137787</v>
      </c>
      <c r="AE25" s="32">
        <f>IF(($H25="锐"),参数区!$B$4,参数区!$B$5)</f>
        <v>12</v>
      </c>
      <c r="AF25" s="32">
        <f t="shared" si="8"/>
        <v>4.2</v>
      </c>
      <c r="AG25" s="32">
        <f>IF(($H25="锐"),参数区!$B$7,参数区!$B$8)</f>
        <v>12</v>
      </c>
      <c r="AH25" s="32">
        <f t="shared" si="9"/>
        <v>4.2</v>
      </c>
      <c r="AI25" s="32">
        <f t="shared" si="10"/>
        <v>18.4583843537415</v>
      </c>
      <c r="AJ25" s="32">
        <f>IF(($H25="锐"),参数区!$B$9,参数区!$B$10)</f>
        <v>4</v>
      </c>
      <c r="AK25" s="32">
        <f t="shared" si="11"/>
        <v>1.4</v>
      </c>
      <c r="AL25" s="33"/>
      <c r="AM25">
        <v>1</v>
      </c>
      <c r="AN25" t="s">
        <v>104</v>
      </c>
      <c r="AO25">
        <f t="shared" si="12"/>
        <v>1</v>
      </c>
      <c r="AP25" s="36">
        <v>55</v>
      </c>
      <c r="AQ25" s="36">
        <v>0.1</v>
      </c>
    </row>
    <row r="26" ht="68" spans="1:43">
      <c r="A26" s="29" t="s">
        <v>119</v>
      </c>
      <c r="B26" s="30" t="s">
        <v>120</v>
      </c>
      <c r="C26" s="29" t="s">
        <v>79</v>
      </c>
      <c r="D26" s="29" t="s">
        <v>65</v>
      </c>
      <c r="E26" s="29">
        <v>1</v>
      </c>
      <c r="F26" s="29">
        <v>34</v>
      </c>
      <c r="G26" s="29">
        <v>0.68</v>
      </c>
      <c r="H26" s="29" t="s">
        <v>56</v>
      </c>
      <c r="I26" s="29">
        <v>4.5</v>
      </c>
      <c r="J26" s="29">
        <v>1</v>
      </c>
      <c r="K26" s="29"/>
      <c r="L26" s="29">
        <v>1.8</v>
      </c>
      <c r="M26" s="29">
        <v>400</v>
      </c>
      <c r="N26" s="29">
        <v>180</v>
      </c>
      <c r="O26" s="29">
        <v>0.8</v>
      </c>
      <c r="P26" s="29"/>
      <c r="Q26" s="29"/>
      <c r="R26" s="29"/>
      <c r="S26" s="29"/>
      <c r="T26" s="30" t="s">
        <v>103</v>
      </c>
      <c r="U26" s="31">
        <f t="shared" si="0"/>
        <v>3.91304347826087</v>
      </c>
      <c r="V26" s="31">
        <f t="shared" si="1"/>
        <v>3.91304347826087</v>
      </c>
      <c r="W26" s="31">
        <f t="shared" si="2"/>
        <v>0.255555555555556</v>
      </c>
      <c r="X26" s="31">
        <f t="shared" si="3"/>
        <v>17.5</v>
      </c>
      <c r="Y26" s="31">
        <f t="shared" si="4"/>
        <v>4.47222222222222</v>
      </c>
      <c r="Z26" s="31">
        <f>IF(NOT(($C26="是")),1,IF($M26&lt;=0,1,IF(参数区!$B$13&gt;$M26,0,IF(OR(参数区!$B$13&lt;=$N26,$M26&lt;=$N26),1,1-(参数区!$B$13-$N26)/($M26-$N26)*(1-$O26)))))</f>
        <v>1</v>
      </c>
      <c r="AA26" s="31">
        <f>IF(NOT(($C26="是")),1,IF((IF($D26="双持",$L26*1.25,$L26))&lt;=0,1,MIN(1,DEGREES(ATAN((参数区!$B$14/2)/参数区!$B$13))/(IF($D26="双持",$L26*1.25,$L26)))))</f>
        <v>1</v>
      </c>
      <c r="AB26" s="31">
        <f t="shared" si="5"/>
        <v>17.4646603535354</v>
      </c>
      <c r="AC26" s="31">
        <f t="shared" si="6"/>
        <v>8.7225580619248</v>
      </c>
      <c r="AD26" s="31">
        <f t="shared" si="7"/>
        <v>2.22909817138078</v>
      </c>
      <c r="AE26" s="32">
        <f>IF(($H26="锐"),参数区!$B$4,参数区!$B$5)</f>
        <v>12</v>
      </c>
      <c r="AF26" s="32">
        <f t="shared" si="8"/>
        <v>3.84</v>
      </c>
      <c r="AG26" s="32">
        <f>IF(($H26="锐"),参数区!$B$7,参数区!$B$8)</f>
        <v>12</v>
      </c>
      <c r="AH26" s="32">
        <f t="shared" si="9"/>
        <v>3.84</v>
      </c>
      <c r="AI26" s="32">
        <f t="shared" si="10"/>
        <v>17.4646603535354</v>
      </c>
      <c r="AJ26" s="32">
        <f>IF(($H26="锐"),参数区!$B$9,参数区!$B$10)</f>
        <v>4</v>
      </c>
      <c r="AK26" s="32">
        <f t="shared" si="11"/>
        <v>1.28</v>
      </c>
      <c r="AL26" s="33"/>
      <c r="AM26">
        <v>1</v>
      </c>
      <c r="AN26" t="s">
        <v>104</v>
      </c>
      <c r="AO26">
        <f t="shared" si="12"/>
        <v>1</v>
      </c>
      <c r="AP26" s="36">
        <v>50</v>
      </c>
      <c r="AQ26" s="36">
        <v>0.1</v>
      </c>
    </row>
    <row r="27" ht="17" spans="1:43">
      <c r="A27" s="29" t="s">
        <v>121</v>
      </c>
      <c r="B27" s="30" t="s">
        <v>122</v>
      </c>
      <c r="C27" s="29" t="s">
        <v>54</v>
      </c>
      <c r="D27" s="29" t="s">
        <v>55</v>
      </c>
      <c r="E27" s="29">
        <v>1</v>
      </c>
      <c r="F27" s="29">
        <v>5</v>
      </c>
      <c r="G27" s="29">
        <v>0.05</v>
      </c>
      <c r="H27" s="29" t="s">
        <v>56</v>
      </c>
      <c r="I27" s="29">
        <v>2.3</v>
      </c>
      <c r="J27" s="29">
        <v>1</v>
      </c>
      <c r="K27" s="29"/>
      <c r="L27" s="29"/>
      <c r="M27" s="29"/>
      <c r="N27" s="29"/>
      <c r="O27" s="29"/>
      <c r="P27" s="29"/>
      <c r="Q27" s="29"/>
      <c r="R27" s="29"/>
      <c r="S27" s="29"/>
      <c r="T27" s="30" t="s">
        <v>123</v>
      </c>
      <c r="U27" s="31">
        <f t="shared" si="0"/>
        <v>2.3</v>
      </c>
      <c r="V27" s="31">
        <f t="shared" si="1"/>
        <v>2.3</v>
      </c>
      <c r="W27" s="31">
        <f t="shared" si="2"/>
        <v>0.434782608695652</v>
      </c>
      <c r="X27" s="31">
        <f t="shared" si="3"/>
        <v>3</v>
      </c>
      <c r="Y27" s="31">
        <f t="shared" si="4"/>
        <v>1.30434782608696</v>
      </c>
      <c r="Z27" s="31">
        <f>IF(NOT(($C27="是")),1,IF($M27&lt;=0,1,IF(参数区!$B$13&gt;$M27,0,IF(OR(参数区!$B$13&lt;=$N27,$M27&lt;=$N27),1,1-(参数区!$B$13-$N27)/($M27-$N27)*(1-$O27)))))</f>
        <v>1</v>
      </c>
      <c r="AA27" s="31">
        <f>IF(NOT(($C27="是")),1,IF((IF($D27="双持",$L27*1.25,$L27))&lt;=0,1,MIN(1,DEGREES(ATAN((参数区!$B$14/2)/参数区!$B$13))/(IF($D27="双持",$L27*1.25,$L27)))))</f>
        <v>1</v>
      </c>
      <c r="AB27" s="31">
        <f t="shared" si="5"/>
        <v>1.35964912280702</v>
      </c>
      <c r="AC27" s="31">
        <f t="shared" si="6"/>
        <v>0.243242860151302</v>
      </c>
      <c r="AD27" s="31">
        <f t="shared" si="7"/>
        <v>0.105757765283175</v>
      </c>
      <c r="AE27" s="32">
        <f>IF(($H27="锐"),参数区!$B$4,参数区!$B$5)</f>
        <v>12</v>
      </c>
      <c r="AF27" s="32">
        <f t="shared" si="8"/>
        <v>11.4</v>
      </c>
      <c r="AG27" s="32">
        <f>IF(($H27="锐"),参数区!$B$7,参数区!$B$8)</f>
        <v>12</v>
      </c>
      <c r="AH27" s="32">
        <f t="shared" si="9"/>
        <v>11.4</v>
      </c>
      <c r="AI27" s="32">
        <f t="shared" si="10"/>
        <v>1.35964912280702</v>
      </c>
      <c r="AJ27" s="32">
        <f>IF(($H27="锐"),参数区!$B$9,参数区!$B$10)</f>
        <v>4</v>
      </c>
      <c r="AK27" s="32">
        <f t="shared" si="11"/>
        <v>3.8</v>
      </c>
      <c r="AL27" s="33" t="s">
        <v>58</v>
      </c>
      <c r="AM27">
        <v>1</v>
      </c>
      <c r="AN27" t="s">
        <v>58</v>
      </c>
      <c r="AO27">
        <f t="shared" si="12"/>
        <v>0</v>
      </c>
      <c r="AP27" s="34">
        <v>100</v>
      </c>
      <c r="AQ27" s="34">
        <v>2.5</v>
      </c>
    </row>
    <row r="28" ht="51" spans="1:43">
      <c r="A28" s="29" t="s">
        <v>124</v>
      </c>
      <c r="B28" s="30" t="s">
        <v>125</v>
      </c>
      <c r="C28" s="29" t="s">
        <v>54</v>
      </c>
      <c r="D28" s="29" t="s">
        <v>55</v>
      </c>
      <c r="E28" s="29">
        <v>1</v>
      </c>
      <c r="F28" s="29">
        <v>4</v>
      </c>
      <c r="G28" s="29">
        <v>0.1</v>
      </c>
      <c r="H28" s="29" t="s">
        <v>56</v>
      </c>
      <c r="I28" s="29">
        <v>2.3</v>
      </c>
      <c r="J28" s="29">
        <v>1</v>
      </c>
      <c r="K28" s="29"/>
      <c r="L28" s="29"/>
      <c r="M28" s="29"/>
      <c r="N28" s="29"/>
      <c r="O28" s="29"/>
      <c r="P28" s="29"/>
      <c r="Q28" s="29"/>
      <c r="R28" s="29"/>
      <c r="S28" s="29"/>
      <c r="T28" s="30" t="s">
        <v>126</v>
      </c>
      <c r="U28" s="31">
        <f t="shared" si="0"/>
        <v>2.3</v>
      </c>
      <c r="V28" s="31">
        <f t="shared" si="1"/>
        <v>2.3</v>
      </c>
      <c r="W28" s="31">
        <f t="shared" si="2"/>
        <v>0.434782608695652</v>
      </c>
      <c r="X28" s="31">
        <f t="shared" si="3"/>
        <v>2.5</v>
      </c>
      <c r="Y28" s="31">
        <f t="shared" si="4"/>
        <v>1.08695652173913</v>
      </c>
      <c r="Z28" s="31">
        <f>IF(NOT(($C28="是")),1,IF($M28&lt;=0,1,IF(参数区!$B$13&gt;$M28,0,IF(OR(参数区!$B$13&lt;=$N28,$M28&lt;=$N28),1,1-(参数区!$B$13-$N28)/($M28-$N28)*(1-$O28)))))</f>
        <v>1</v>
      </c>
      <c r="AA28" s="31">
        <f>IF(NOT(($C28="是")),1,IF((IF($D28="双持",$L28*1.25,$L28))&lt;=0,1,MIN(1,DEGREES(ATAN((参数区!$B$14/2)/参数区!$B$13))/(IF($D28="双持",$L28*1.25,$L28)))))</f>
        <v>1</v>
      </c>
      <c r="AB28" s="31">
        <f t="shared" si="5"/>
        <v>0.972222222222222</v>
      </c>
      <c r="AC28" s="31">
        <f t="shared" si="6"/>
        <v>0.131280006858711</v>
      </c>
      <c r="AD28" s="31">
        <f t="shared" si="7"/>
        <v>0.0570782638516133</v>
      </c>
      <c r="AE28" s="32">
        <f>IF(($H28="锐"),参数区!$B$4,参数区!$B$5)</f>
        <v>12</v>
      </c>
      <c r="AF28" s="32">
        <f t="shared" si="8"/>
        <v>10.8</v>
      </c>
      <c r="AG28" s="32">
        <f>IF(($H28="锐"),参数区!$B$7,参数区!$B$8)</f>
        <v>12</v>
      </c>
      <c r="AH28" s="32">
        <f t="shared" si="9"/>
        <v>10.8</v>
      </c>
      <c r="AI28" s="32">
        <f t="shared" si="10"/>
        <v>0.972222222222222</v>
      </c>
      <c r="AJ28" s="32">
        <f>IF(($H28="锐"),参数区!$B$9,参数区!$B$10)</f>
        <v>4</v>
      </c>
      <c r="AK28" s="32">
        <f t="shared" si="11"/>
        <v>3.6</v>
      </c>
      <c r="AL28" s="33" t="s">
        <v>58</v>
      </c>
      <c r="AM28">
        <v>1</v>
      </c>
      <c r="AN28" t="s">
        <v>58</v>
      </c>
      <c r="AO28">
        <f t="shared" si="12"/>
        <v>0</v>
      </c>
      <c r="AP28" s="34">
        <v>90</v>
      </c>
      <c r="AQ28" s="34">
        <v>2.5</v>
      </c>
    </row>
  </sheetData>
  <mergeCells count="3">
    <mergeCell ref="A1:T1"/>
    <mergeCell ref="U1:AD1"/>
    <mergeCell ref="AE1:AK1"/>
  </mergeCells>
  <dataValidations count="3">
    <dataValidation type="list" allowBlank="1" sqref="C3:C59">
      <formula1>"是,否"</formula1>
    </dataValidation>
    <dataValidation type="list" allowBlank="1" sqref="D3:D59">
      <formula1>"单手,双手,双持"</formula1>
    </dataValidation>
    <dataValidation type="list" allowBlank="1" sqref="H3:H59">
      <formula1>"锐,钝"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"/>
  <sheetViews>
    <sheetView tabSelected="1" workbookViewId="0">
      <selection activeCell="I10" sqref="I10"/>
    </sheetView>
  </sheetViews>
  <sheetFormatPr defaultColWidth="9" defaultRowHeight="16.8"/>
  <cols>
    <col min="1" max="1" width="14" customWidth="1"/>
    <col min="2" max="5" width="10" customWidth="1"/>
    <col min="6" max="7" width="16" customWidth="1"/>
    <col min="8" max="8" width="46" customWidth="1"/>
    <col min="9" max="9" width="40" customWidth="1"/>
    <col min="10" max="10" width="80" customWidth="1"/>
    <col min="11" max="11" width="20" customWidth="1"/>
  </cols>
  <sheetData>
    <row r="1" ht="17.6" spans="1:11">
      <c r="A1" s="14" t="s">
        <v>127</v>
      </c>
    </row>
    <row r="2" spans="1:11">
      <c r="A2" t="s">
        <v>128</v>
      </c>
    </row>
    <row r="4" spans="1:11">
      <c r="A4" s="15" t="s">
        <v>129</v>
      </c>
      <c r="B4" s="15" t="s">
        <v>130</v>
      </c>
      <c r="C4" s="16" t="s">
        <v>131</v>
      </c>
      <c r="D4" s="16" t="s">
        <v>132</v>
      </c>
      <c r="E4" s="16" t="s">
        <v>133</v>
      </c>
      <c r="F4" s="16" t="s">
        <v>134</v>
      </c>
      <c r="G4" s="16" t="s">
        <v>135</v>
      </c>
      <c r="H4" s="15" t="s">
        <v>136</v>
      </c>
      <c r="I4" s="15" t="s">
        <v>137</v>
      </c>
      <c r="J4" s="15" t="s">
        <v>138</v>
      </c>
      <c r="K4" s="17" t="s">
        <v>139</v>
      </c>
    </row>
    <row r="5" spans="1:11">
      <c r="A5" t="s">
        <v>140</v>
      </c>
      <c r="B5" t="s">
        <v>141</v>
      </c>
      <c r="C5" s="18">
        <v>0.75</v>
      </c>
      <c r="D5" s="18">
        <v>0.75</v>
      </c>
      <c r="E5" s="18">
        <v>0.75</v>
      </c>
      <c r="F5" s="18">
        <v>1</v>
      </c>
      <c r="G5" s="18">
        <v>1.1</v>
      </c>
      <c r="H5" t="s">
        <v>142</v>
      </c>
      <c r="I5" t="s">
        <v>143</v>
      </c>
      <c r="J5" t="s">
        <v>144</v>
      </c>
      <c r="K5" s="19" t="s">
        <v>145</v>
      </c>
    </row>
    <row r="6" spans="1:11">
      <c r="A6" t="s">
        <v>146</v>
      </c>
      <c r="B6" t="s">
        <v>141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t="s">
        <v>147</v>
      </c>
      <c r="I6" t="s">
        <v>143</v>
      </c>
      <c r="J6" t="s">
        <v>148</v>
      </c>
      <c r="K6" s="19" t="s">
        <v>149</v>
      </c>
    </row>
    <row r="7" spans="1:11">
      <c r="A7" t="s">
        <v>150</v>
      </c>
      <c r="B7" t="s">
        <v>141</v>
      </c>
      <c r="C7" s="18">
        <v>1.35</v>
      </c>
      <c r="D7" s="18">
        <v>1.45</v>
      </c>
      <c r="E7" s="18">
        <v>0.75</v>
      </c>
      <c r="F7" s="18">
        <v>1.15</v>
      </c>
      <c r="G7" s="18">
        <v>1.25</v>
      </c>
      <c r="H7" t="s">
        <v>151</v>
      </c>
      <c r="I7" t="s">
        <v>143</v>
      </c>
      <c r="J7" t="s">
        <v>152</v>
      </c>
      <c r="K7" s="19" t="s">
        <v>153</v>
      </c>
    </row>
    <row r="8" spans="1:11">
      <c r="A8" t="s">
        <v>154</v>
      </c>
      <c r="B8" t="s">
        <v>155</v>
      </c>
      <c r="C8" s="18">
        <v>1.25</v>
      </c>
      <c r="D8" s="18">
        <v>1.25</v>
      </c>
      <c r="E8" s="18">
        <v>1.2</v>
      </c>
      <c r="F8" s="18">
        <v>0.9</v>
      </c>
      <c r="G8" s="18">
        <v>0.7</v>
      </c>
      <c r="H8" t="s">
        <v>156</v>
      </c>
      <c r="I8" t="s">
        <v>157</v>
      </c>
      <c r="J8" t="s">
        <v>158</v>
      </c>
      <c r="K8" s="19" t="s">
        <v>159</v>
      </c>
    </row>
    <row r="11" spans="1:11">
      <c r="A11" s="20" t="s">
        <v>160</v>
      </c>
    </row>
    <row r="12" spans="1:11">
      <c r="A12" t="s">
        <v>161</v>
      </c>
    </row>
    <row r="13" spans="1:11">
      <c r="A13" t="s">
        <v>162</v>
      </c>
    </row>
    <row r="14" spans="1:11">
      <c r="A14" t="s">
        <v>163</v>
      </c>
    </row>
    <row r="15" spans="1:11">
      <c r="A15" t="s">
        <v>164</v>
      </c>
    </row>
    <row r="16" spans="1:11">
      <c r="A16" t="s">
        <v>165</v>
      </c>
    </row>
    <row r="17" spans="1:1">
      <c r="A17" t="s">
        <v>166</v>
      </c>
    </row>
    <row r="19" spans="1:1">
      <c r="A19" t="s">
        <v>167</v>
      </c>
    </row>
    <row r="20" spans="1:1">
      <c r="A20" t="s">
        <v>168</v>
      </c>
    </row>
    <row r="21" spans="1:1">
      <c r="A21" t="s">
        <v>169</v>
      </c>
    </row>
    <row r="22" spans="1:1">
      <c r="A22" t="s">
        <v>170</v>
      </c>
    </row>
    <row r="23" spans="1:1">
      <c r="A23" t="s">
        <v>171</v>
      </c>
    </row>
    <row r="24" spans="1:1">
      <c r="A24" t="s">
        <v>172</v>
      </c>
    </row>
    <row r="26" spans="1:1">
      <c r="A26" t="s">
        <v>173</v>
      </c>
    </row>
    <row r="27" spans="1:1">
      <c r="A27" t="s">
        <v>174</v>
      </c>
    </row>
    <row r="28" spans="1:1">
      <c r="A28" t="s">
        <v>175</v>
      </c>
    </row>
    <row r="29" spans="1:1">
      <c r="A29" t="s">
        <v>176</v>
      </c>
    </row>
    <row r="30" spans="1:1">
      <c r="A30" t="s">
        <v>177</v>
      </c>
    </row>
    <row r="31" spans="1:1">
      <c r="A31" t="s">
        <v>178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CE4D6"/>
  </sheetPr>
  <dimension ref="A1:C14"/>
  <sheetViews>
    <sheetView workbookViewId="0">
      <selection activeCell="A1" sqref="A1:C1"/>
    </sheetView>
  </sheetViews>
  <sheetFormatPr defaultColWidth="9" defaultRowHeight="16.8" outlineLevelCol="2"/>
  <cols>
    <col min="1" max="1" width="26" customWidth="1"/>
    <col min="2" max="2" width="12" customWidth="1"/>
    <col min="3" max="3" width="62" customWidth="1"/>
  </cols>
  <sheetData>
    <row r="1" ht="17.6" spans="1:3">
      <c r="A1" s="11" t="s">
        <v>179</v>
      </c>
    </row>
    <row r="2" spans="1:3">
      <c r="A2" s="3"/>
      <c r="C2" s="3"/>
    </row>
    <row r="3" spans="1:3">
      <c r="A3" s="12" t="s">
        <v>180</v>
      </c>
    </row>
    <row r="4" ht="17" spans="1:3">
      <c r="A4" s="3" t="s">
        <v>181</v>
      </c>
      <c r="B4" s="13">
        <v>12</v>
      </c>
      <c r="C4" s="3" t="s">
        <v>182</v>
      </c>
    </row>
    <row r="5" ht="17" spans="1:3">
      <c r="A5" s="3" t="s">
        <v>183</v>
      </c>
      <c r="B5" s="13">
        <v>6</v>
      </c>
      <c r="C5" s="3" t="s">
        <v>184</v>
      </c>
    </row>
    <row r="6" spans="1:3">
      <c r="A6" s="3"/>
      <c r="C6" s="3"/>
    </row>
    <row r="7" ht="17" spans="1:3">
      <c r="A7" s="3" t="s">
        <v>185</v>
      </c>
      <c r="B7" s="13">
        <v>12</v>
      </c>
      <c r="C7" s="3" t="s">
        <v>186</v>
      </c>
    </row>
    <row r="8" ht="17" spans="1:3">
      <c r="A8" s="3" t="s">
        <v>187</v>
      </c>
      <c r="B8" s="13">
        <v>6</v>
      </c>
      <c r="C8" s="3" t="s">
        <v>184</v>
      </c>
    </row>
    <row r="9" ht="17" spans="1:3">
      <c r="A9" s="3" t="s">
        <v>188</v>
      </c>
      <c r="B9" s="13">
        <v>4</v>
      </c>
      <c r="C9" s="3" t="s">
        <v>189</v>
      </c>
    </row>
    <row r="10" ht="17" spans="1:3">
      <c r="A10" s="3" t="s">
        <v>190</v>
      </c>
      <c r="B10" s="13">
        <v>2</v>
      </c>
      <c r="C10" s="3" t="s">
        <v>191</v>
      </c>
    </row>
    <row r="11" spans="1:3">
      <c r="A11" s="3"/>
      <c r="C11" s="3"/>
    </row>
    <row r="12" spans="1:3">
      <c r="A12" s="12" t="s">
        <v>192</v>
      </c>
    </row>
    <row r="13" ht="17" spans="1:3">
      <c r="A13" s="3" t="s">
        <v>193</v>
      </c>
      <c r="B13" s="13">
        <v>80</v>
      </c>
      <c r="C13" s="3" t="s">
        <v>194</v>
      </c>
    </row>
    <row r="14" ht="17" spans="1:3">
      <c r="A14" s="3" t="s">
        <v>195</v>
      </c>
      <c r="B14" s="13">
        <v>24</v>
      </c>
      <c r="C14" s="3" t="s">
        <v>196</v>
      </c>
    </row>
  </sheetData>
  <mergeCells count="3">
    <mergeCell ref="A1:C1"/>
    <mergeCell ref="A3:C3"/>
    <mergeCell ref="A12:C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pane ySplit="3" topLeftCell="A4" activePane="bottomLeft" state="frozen"/>
      <selection/>
      <selection pane="bottomLeft" activeCell="A1" sqref="A1:D1"/>
    </sheetView>
  </sheetViews>
  <sheetFormatPr defaultColWidth="9" defaultRowHeight="16.8" outlineLevelCol="3"/>
  <cols>
    <col min="1" max="1" width="17" customWidth="1"/>
    <col min="2" max="2" width="15" customWidth="1"/>
    <col min="3" max="3" width="30" customWidth="1"/>
    <col min="4" max="4" width="78" customWidth="1"/>
  </cols>
  <sheetData>
    <row r="1" ht="19.2" spans="1:4">
      <c r="A1" s="6" t="s">
        <v>197</v>
      </c>
    </row>
    <row r="3" ht="22" customHeight="1" spans="1:4">
      <c r="A3" s="7" t="s">
        <v>198</v>
      </c>
      <c r="B3" s="7" t="s">
        <v>50</v>
      </c>
      <c r="C3" s="7" t="s">
        <v>199</v>
      </c>
      <c r="D3" s="7" t="s">
        <v>200</v>
      </c>
    </row>
    <row r="4" ht="60" customHeight="1" spans="1:4">
      <c r="A4" s="8" t="s">
        <v>201</v>
      </c>
      <c r="B4" s="9">
        <v>40</v>
      </c>
      <c r="C4" s="8" t="s">
        <v>202</v>
      </c>
      <c r="D4" s="8" t="s">
        <v>203</v>
      </c>
    </row>
    <row r="5" ht="60" customHeight="1" spans="1:4">
      <c r="A5" s="8" t="s">
        <v>204</v>
      </c>
      <c r="B5" s="9">
        <v>25</v>
      </c>
      <c r="C5" s="8" t="s">
        <v>205</v>
      </c>
      <c r="D5" s="8" t="s">
        <v>206</v>
      </c>
    </row>
    <row r="6" ht="60" customHeight="1" spans="1:4">
      <c r="A6" s="8" t="s">
        <v>207</v>
      </c>
      <c r="B6" s="9">
        <v>180</v>
      </c>
      <c r="C6" s="8" t="s">
        <v>208</v>
      </c>
      <c r="D6" s="8" t="s">
        <v>209</v>
      </c>
    </row>
    <row r="7" ht="60" customHeight="1" spans="1:4">
      <c r="A7" s="8" t="s">
        <v>210</v>
      </c>
      <c r="B7" s="9">
        <v>100</v>
      </c>
      <c r="C7" s="8" t="s">
        <v>211</v>
      </c>
      <c r="D7" s="8" t="s">
        <v>212</v>
      </c>
    </row>
    <row r="8" ht="72" customHeight="1" spans="1:4">
      <c r="A8" s="8" t="s">
        <v>213</v>
      </c>
      <c r="B8" s="9">
        <v>30</v>
      </c>
      <c r="C8" s="8" t="s">
        <v>214</v>
      </c>
      <c r="D8" s="8" t="s">
        <v>215</v>
      </c>
    </row>
    <row r="9" ht="51" spans="1:4">
      <c r="A9" s="8" t="s">
        <v>216</v>
      </c>
      <c r="B9" s="9">
        <v>48</v>
      </c>
      <c r="C9" s="8" t="s">
        <v>217</v>
      </c>
      <c r="D9" s="8" t="s">
        <v>218</v>
      </c>
    </row>
    <row r="11" ht="32" customHeight="1"/>
    <row r="12" ht="185" spans="1:4">
      <c r="A12" s="10" t="s">
        <v>219</v>
      </c>
    </row>
    <row r="13" ht="19.2" spans="1:4">
      <c r="A13" s="6" t="s">
        <v>220</v>
      </c>
    </row>
    <row r="14" ht="22" customHeight="1" spans="1:4">
      <c r="A14" s="7" t="s">
        <v>221</v>
      </c>
      <c r="B14" s="7" t="s">
        <v>222</v>
      </c>
      <c r="C14" s="7" t="s">
        <v>223</v>
      </c>
      <c r="D14" s="7" t="s">
        <v>224</v>
      </c>
    </row>
    <row r="15" ht="66" customHeight="1" spans="1:4">
      <c r="A15" s="8" t="s">
        <v>225</v>
      </c>
      <c r="B15" s="8" t="s">
        <v>226</v>
      </c>
      <c r="C15" s="8" t="s">
        <v>227</v>
      </c>
      <c r="D15" s="8" t="s">
        <v>228</v>
      </c>
    </row>
    <row r="16" ht="66" customHeight="1" spans="1:4">
      <c r="A16" s="8" t="s">
        <v>229</v>
      </c>
      <c r="B16" s="8" t="s">
        <v>230</v>
      </c>
      <c r="C16" s="8" t="s">
        <v>231</v>
      </c>
      <c r="D16" s="8" t="s">
        <v>232</v>
      </c>
    </row>
    <row r="17" ht="30" customHeight="1" spans="1:1">
      <c r="A17" s="10" t="s">
        <v>233</v>
      </c>
    </row>
  </sheetData>
  <mergeCells count="4">
    <mergeCell ref="A1:D1"/>
    <mergeCell ref="A11:D11"/>
    <mergeCell ref="A13:D13"/>
    <mergeCell ref="A17:D1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B25"/>
  <sheetViews>
    <sheetView workbookViewId="0">
      <selection activeCell="A1" sqref="A1"/>
    </sheetView>
  </sheetViews>
  <sheetFormatPr defaultColWidth="9" defaultRowHeight="16.8" outlineLevelCol="1"/>
  <cols>
    <col min="1" max="1" width="18" customWidth="1"/>
    <col min="2" max="2" width="104" customWidth="1"/>
  </cols>
  <sheetData>
    <row r="1" ht="34" spans="1:2">
      <c r="A1" s="1" t="s">
        <v>234</v>
      </c>
      <c r="B1" s="1" t="s">
        <v>235</v>
      </c>
    </row>
    <row r="2" ht="34" spans="1:2">
      <c r="A2" s="2" t="s">
        <v>236</v>
      </c>
      <c r="B2" s="3" t="s">
        <v>237</v>
      </c>
    </row>
    <row r="3" ht="17" spans="1:2">
      <c r="A3" s="2" t="s">
        <v>238</v>
      </c>
      <c r="B3" s="3" t="s">
        <v>239</v>
      </c>
    </row>
    <row r="4" ht="34" spans="1:2">
      <c r="A4" s="2" t="s">
        <v>240</v>
      </c>
      <c r="B4" s="3" t="s">
        <v>241</v>
      </c>
    </row>
    <row r="5" ht="34" spans="1:2">
      <c r="A5" s="2" t="s">
        <v>242</v>
      </c>
      <c r="B5" s="3" t="s">
        <v>243</v>
      </c>
    </row>
    <row r="6" ht="34" spans="1:2">
      <c r="A6" s="2" t="s">
        <v>244</v>
      </c>
      <c r="B6" s="3" t="s">
        <v>245</v>
      </c>
    </row>
    <row r="7" ht="34" spans="1:2">
      <c r="A7" s="2" t="s">
        <v>246</v>
      </c>
      <c r="B7" s="3" t="s">
        <v>247</v>
      </c>
    </row>
    <row r="8" ht="17" spans="1:2">
      <c r="A8" s="2" t="s">
        <v>248</v>
      </c>
      <c r="B8" s="3" t="s">
        <v>249</v>
      </c>
    </row>
    <row r="9" ht="17" spans="1:2">
      <c r="A9" s="2" t="s">
        <v>250</v>
      </c>
      <c r="B9" s="3" t="s">
        <v>251</v>
      </c>
    </row>
    <row r="10" ht="34" spans="1:2">
      <c r="A10" s="2" t="s">
        <v>252</v>
      </c>
      <c r="B10" s="3" t="s">
        <v>253</v>
      </c>
    </row>
    <row r="11" ht="17" spans="1:2">
      <c r="A11" s="2" t="s">
        <v>254</v>
      </c>
      <c r="B11" s="3" t="s">
        <v>255</v>
      </c>
    </row>
    <row r="12" ht="17" spans="1:2">
      <c r="A12" s="2" t="s">
        <v>256</v>
      </c>
      <c r="B12" s="3" t="s">
        <v>257</v>
      </c>
    </row>
    <row r="13" ht="17" spans="1:2">
      <c r="A13" s="2" t="s">
        <v>258</v>
      </c>
      <c r="B13" s="3" t="s">
        <v>259</v>
      </c>
    </row>
    <row r="14" ht="34" spans="1:2">
      <c r="A14" s="2" t="s">
        <v>260</v>
      </c>
      <c r="B14" s="4" t="s">
        <v>261</v>
      </c>
    </row>
    <row r="15" ht="34" spans="1:2">
      <c r="A15" s="2" t="s">
        <v>262</v>
      </c>
      <c r="B15" s="4" t="s">
        <v>263</v>
      </c>
    </row>
    <row r="16" ht="51" spans="1:2">
      <c r="A16" s="2" t="s">
        <v>264</v>
      </c>
      <c r="B16" s="4" t="s">
        <v>265</v>
      </c>
    </row>
    <row r="17" ht="34" spans="1:2">
      <c r="A17" s="2" t="s">
        <v>266</v>
      </c>
      <c r="B17" s="4" t="s">
        <v>267</v>
      </c>
    </row>
    <row r="18" ht="34" spans="1:2">
      <c r="A18" s="2" t="s">
        <v>268</v>
      </c>
      <c r="B18" s="4" t="s">
        <v>269</v>
      </c>
    </row>
    <row r="19" ht="34" spans="1:2">
      <c r="A19" s="2" t="s">
        <v>270</v>
      </c>
      <c r="B19" s="4" t="s">
        <v>271</v>
      </c>
    </row>
    <row r="20" ht="62" customHeight="1" spans="1:2">
      <c r="A20" s="5" t="s">
        <v>272</v>
      </c>
      <c r="B20" s="4" t="s">
        <v>273</v>
      </c>
    </row>
    <row r="21" spans="1:2">
      <c r="A21" t="s">
        <v>274</v>
      </c>
      <c r="B21" t="s">
        <v>275</v>
      </c>
    </row>
    <row r="22" spans="1:2">
      <c r="A22" t="s">
        <v>276</v>
      </c>
      <c r="B22" t="s">
        <v>277</v>
      </c>
    </row>
    <row r="23" spans="1:2">
      <c r="A23" t="s">
        <v>278</v>
      </c>
      <c r="B23" t="s">
        <v>279</v>
      </c>
    </row>
    <row r="24" spans="1:2">
      <c r="A24" t="s">
        <v>280</v>
      </c>
      <c r="B24" t="s">
        <v>281</v>
      </c>
    </row>
    <row r="25" spans="1:2">
      <c r="A25" t="s">
        <v>282</v>
      </c>
      <c r="B25" t="s">
        <v>283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武器表</vt:lpstr>
      <vt:lpstr>箭矢表</vt:lpstr>
      <vt:lpstr>参数区</vt:lpstr>
      <vt:lpstr>行为噪音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Valar</cp:lastModifiedBy>
  <dcterms:created xsi:type="dcterms:W3CDTF">2026-07-10T23:28:00Z</dcterms:created>
  <dcterms:modified xsi:type="dcterms:W3CDTF">2026-07-13T12:23:39Z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85A3B58DAF05068A0B11556A62CFCF16_42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