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武器表" sheetId="1" state="visible" r:id="rId1"/>
    <sheet name="参数区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10"/>
    </font>
    <font>
      <color rgb="00808080"/>
      <sz val="9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808080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2" fontId="0" fillId="7" borderId="1" pivotButton="0" quotePrefix="0" xfId="0"/>
    <xf numFmtId="2" fontId="4" fillId="8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K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8" customWidth="1" min="10" max="10"/>
    <col width="12" customWidth="1" min="11" max="11"/>
    <col width="10" customWidth="1" min="12" max="12"/>
    <col width="10" customWidth="1" min="13" max="13"/>
    <col width="10" customWidth="1" min="14" max="14"/>
    <col width="12" customWidth="1" min="15" max="15"/>
    <col width="9" customWidth="1" min="16" max="16"/>
    <col width="9" customWidth="1" min="17" max="17"/>
    <col width="9" customWidth="1" min="18" max="18"/>
    <col width="9" customWidth="1" min="19" max="19"/>
    <col width="20" customWidth="1" min="20" max="20"/>
    <col width="11" customWidth="1" min="21" max="21"/>
    <col width="11" customWidth="1" min="22" max="22"/>
    <col width="13" customWidth="1" min="23" max="23"/>
    <col width="12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1" customWidth="1" min="30" max="30"/>
    <col outlineLevel="1" width="12" customWidth="1" min="31" max="31"/>
    <col outlineLevel="1" width="10" customWidth="1" min="32" max="32"/>
    <col outlineLevel="1" width="13" customWidth="1" min="33" max="33"/>
    <col outlineLevel="1" width="10" customWidth="1" min="34" max="34"/>
    <col outlineLevel="1" width="10" customWidth="1" min="35" max="35"/>
    <col outlineLevel="1" width="13" customWidth="1" min="36" max="36"/>
    <col outlineLevel="1" width="10" customWidth="1" min="37" max="37"/>
  </cols>
  <sheetData>
    <row r="1" ht="18" customHeight="1">
      <c r="A1" s="1" t="inlineStr">
        <is>
          <t>输入列（手工填）</t>
        </is>
      </c>
      <c r="U1" s="2" t="inlineStr">
        <is>
          <t>计算列（自动，勿改）</t>
        </is>
      </c>
      <c r="AE1" s="3" t="inlineStr">
        <is>
          <t>中间量（推导用，可折叠）</t>
        </is>
      </c>
    </row>
    <row r="2" ht="30" customHeight="1">
      <c r="A2" s="4" t="inlineStr">
        <is>
          <t>武器名</t>
        </is>
      </c>
      <c r="B2" s="4" t="inlineStr">
        <is>
          <t>简介</t>
        </is>
      </c>
      <c r="C2" s="4" t="inlineStr">
        <is>
          <t>远程?(是/否)</t>
        </is>
      </c>
      <c r="D2" s="4" t="inlineStr">
        <is>
          <t>持握(单手/双手/双持)</t>
        </is>
      </c>
      <c r="E2" s="4" t="inlineStr">
        <is>
          <t>伤害下限</t>
        </is>
      </c>
      <c r="F2" s="4" t="inlineStr">
        <is>
          <t>伤害上限</t>
        </is>
      </c>
      <c r="G2" s="4" t="inlineStr">
        <is>
          <t>穿透(0~1)</t>
        </is>
      </c>
      <c r="H2" s="4" t="inlineStr">
        <is>
          <t>伤害类型(锐/钝)</t>
        </is>
      </c>
      <c r="I2" s="4" t="inlineStr">
        <is>
          <t>冷却(秒)</t>
        </is>
      </c>
      <c r="J2" s="4" t="inlineStr">
        <is>
          <t>连发数</t>
        </is>
      </c>
      <c r="K2" s="4" t="inlineStr">
        <is>
          <t>连发内间隔(秒)</t>
        </is>
      </c>
      <c r="L2" s="4" t="inlineStr">
        <is>
          <t>误差角(°)</t>
        </is>
      </c>
      <c r="M2" s="4" t="inlineStr">
        <is>
          <t>最大射程</t>
        </is>
      </c>
      <c r="N2" s="4" t="inlineStr">
        <is>
          <t>满伤射程</t>
        </is>
      </c>
      <c r="O2" s="4" t="inlineStr">
        <is>
          <t>末端系数(0~1)</t>
        </is>
      </c>
      <c r="P2" s="4" t="inlineStr">
        <is>
          <t>枪托伤下</t>
        </is>
      </c>
      <c r="Q2" s="4" t="inlineStr">
        <is>
          <t>枪托伤上</t>
        </is>
      </c>
      <c r="R2" s="4" t="inlineStr">
        <is>
          <t>枪托间隔</t>
        </is>
      </c>
      <c r="S2" s="4" t="inlineStr">
        <is>
          <t>枪托穿透</t>
        </is>
      </c>
      <c r="T2" s="4" t="inlineStr">
        <is>
          <t>备注</t>
        </is>
      </c>
      <c r="U2" s="5" t="inlineStr">
        <is>
          <t>有效冷却(秒)</t>
        </is>
      </c>
      <c r="V2" s="5" t="inlineStr">
        <is>
          <t>循环时长(秒)</t>
        </is>
      </c>
      <c r="W2" s="5" t="inlineStr">
        <is>
          <t>有效攻速(发/秒)</t>
        </is>
      </c>
      <c r="X2" s="5" t="inlineStr">
        <is>
          <t>平均伤害(裸)</t>
        </is>
      </c>
      <c r="Y2" s="5" t="inlineStr">
        <is>
          <t>裸DPS</t>
        </is>
      </c>
      <c r="Z2" s="5" t="inlineStr">
        <is>
          <t>距离衰减系数</t>
        </is>
      </c>
      <c r="AA2" s="5" t="inlineStr">
        <is>
          <t>命中率</t>
        </is>
      </c>
      <c r="AB2" s="5" t="inlineStr">
        <is>
          <t>单层期望伤害</t>
        </is>
      </c>
      <c r="AC2" s="5" t="inlineStr">
        <is>
          <t>多层期望伤害</t>
        </is>
      </c>
      <c r="AD2" s="5" t="inlineStr">
        <is>
          <t>期望DPS</t>
        </is>
      </c>
      <c r="AE2" s="6" t="inlineStr">
        <is>
          <t>单层·适用防御</t>
        </is>
      </c>
      <c r="AF2" s="6" t="inlineStr">
        <is>
          <t>单层·Dm</t>
        </is>
      </c>
      <c r="AG2" s="6" t="inlineStr">
        <is>
          <t>多层外·适用防御</t>
        </is>
      </c>
      <c r="AH2" s="6" t="inlineStr">
        <is>
          <t>多层外·Dm</t>
        </is>
      </c>
      <c r="AI2" s="6" t="inlineStr">
        <is>
          <t>多层外·E</t>
        </is>
      </c>
      <c r="AJ2" s="6" t="inlineStr">
        <is>
          <t>多层内·适用防御</t>
        </is>
      </c>
      <c r="AK2" s="6" t="inlineStr">
        <is>
          <t>多层内·Dm</t>
        </is>
      </c>
    </row>
    <row r="3">
      <c r="A3" s="7" t="inlineStr">
        <is>
          <t>匕首</t>
        </is>
      </c>
      <c r="B3" s="8" t="inlineStr">
        <is>
          <t>近战锐器，穿透9%，可双持</t>
        </is>
      </c>
      <c r="C3" s="7" t="inlineStr">
        <is>
          <t>否</t>
        </is>
      </c>
      <c r="D3" s="7" t="inlineStr">
        <is>
          <t>单手</t>
        </is>
      </c>
      <c r="E3" s="7" t="n">
        <v>4</v>
      </c>
      <c r="F3" s="7" t="n">
        <v>10</v>
      </c>
      <c r="G3" s="7" t="n">
        <v>0.09</v>
      </c>
      <c r="H3" s="7" t="inlineStr">
        <is>
          <t>锐</t>
        </is>
      </c>
      <c r="I3" s="7" t="n">
        <v>1.4</v>
      </c>
      <c r="J3" s="7" t="n">
        <v>1</v>
      </c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8" t="inlineStr">
        <is>
          <t>可双持</t>
        </is>
      </c>
      <c r="U3" s="9">
        <f>IF($I3&gt;0,$I3/IF($D3="双手",1.15,IF($D3="双持",1.4,1)),0)</f>
        <v/>
      </c>
      <c r="V3" s="9">
        <f>$U3+((IF($J3="",1,$J3))-1)*(IF($K3="",0,$K3))</f>
        <v/>
      </c>
      <c r="W3" s="9">
        <f>IF($V3&gt;0,(IF($J3="",1,$J3))/$V3,0)</f>
        <v/>
      </c>
      <c r="X3" s="9">
        <f>($E3+$F3)/2</f>
        <v/>
      </c>
      <c r="Y3" s="9">
        <f>$X3*$W3</f>
        <v/>
      </c>
      <c r="Z3" s="9">
        <f>IF(NOT(($C3="是")),1,IF($M3&lt;=0,1,IF('参数区'!$B$13&gt;$M3,0,IF(OR('参数区'!$B$13&lt;=$N3,$M3&lt;=$N3),1,1-('参数区'!$B$13-$N3)/($M3-$N3)*(1-$O3)))))</f>
        <v/>
      </c>
      <c r="AA3" s="9">
        <f>IF(NOT(($C3="是")),1,IF((IF($D3="双持",$L3*1.25,$L3))&lt;=0,1,MIN(1,DEGREES(ATAN(('参数区'!$B$14/2)/'参数区'!$B$13))/(IF($D3="双持",$L3*1.25,$L3)))))</f>
        <v/>
      </c>
      <c r="AB3" s="9">
        <f>IF(($AF3)&lt;=0,(($E3)+($F3))/2,IF(($F3)&lt;=($E3),IF(($AF3)&lt;=0,($E3),IF(($E3)&gt;=($AF3),($E3),IF(($E3)&gt;=($AF3)/2,($E3)*(($E3)+($AF3))/(2*($AF3)),3*($E3)^2/(2*($AF3))))),(IF(MIN($F3,($AF3)/2)&gt;($E3),((MIN($F3,($AF3)/2))^3-(($E3))^3)/(2*($AF3)),0)+IF(MIN($F3,($AF3))&gt;MAX($E3,($AF3)/2),((MIN($F3,($AF3)))^3-(MAX($E3,($AF3)/2))^3)/(6*($AF3))+((MIN($F3,($AF3)))^2-(MAX($E3,($AF3)/2))^2)/4,0)+IF(($F3)&gt;MAX($E3,($AF3)),((($F3))^2-(MAX($E3,($AF3)))^2)/2,0))/(($F3)-($E3))))</f>
        <v/>
      </c>
      <c r="AC3" s="9">
        <f>IF(($AK3)&lt;=0,((0)+($AI3))/2,IF(($AI3)&lt;=(0),IF(($AK3)&lt;=0,(0),IF((0)&gt;=($AK3),(0),IF((0)&gt;=($AK3)/2,(0)*((0)+($AK3))/(2*($AK3)),3*(0)^2/(2*($AK3))))),(IF(MIN($AI3,($AK3)/2)&gt;(0),((MIN($AI3,($AK3)/2))^3-((0))^3)/(2*($AK3)),0)+IF(MIN($AI3,($AK3))&gt;MAX(0,($AK3)/2),((MIN($AI3,($AK3)))^3-(MAX(0,($AK3)/2))^3)/(6*($AK3))+((MIN($AI3,($AK3)))^2-(MAX(0,($AK3)/2))^2)/4,0)+IF(($AI3)&gt;MAX(0,($AK3)),((($AI3))^2-(MAX(0,($AK3)))^2)/2,0))/(($AI3)-(0))))</f>
        <v/>
      </c>
      <c r="AD3" s="9">
        <f>$AC3*$W3*$AA3*$Z3</f>
        <v/>
      </c>
      <c r="AE3" s="10">
        <f>IF(($H3="锐"),'参数区'!$B$4,'参数区'!$B$5)</f>
        <v/>
      </c>
      <c r="AF3" s="10">
        <f>$AE3*(1-$G3)</f>
        <v/>
      </c>
      <c r="AG3" s="10">
        <f>IF(($H3="锐"),'参数区'!$B$7,'参数区'!$B$8)</f>
        <v/>
      </c>
      <c r="AH3" s="10">
        <f>$AG3*(1-$G3)</f>
        <v/>
      </c>
      <c r="AI3" s="10">
        <f>IF(($AH3)&lt;=0,(($E3)+($F3))/2,IF(($F3)&lt;=($E3),IF(($AH3)&lt;=0,($E3),IF(($E3)&gt;=($AH3),($E3),IF(($E3)&gt;=($AH3)/2,($E3)*(($E3)+($AH3))/(2*($AH3)),3*($E3)^2/(2*($AH3))))),(IF(MIN($F3,($AH3)/2)&gt;($E3),((MIN($F3,($AH3)/2))^3-(($E3))^3)/(2*($AH3)),0)+IF(MIN($F3,($AH3))&gt;MAX($E3,($AH3)/2),((MIN($F3,($AH3)))^3-(MAX($E3,($AH3)/2))^3)/(6*($AH3))+((MIN($F3,($AH3)))^2-(MAX($E3,($AH3)/2))^2)/4,0)+IF(($F3)&gt;MAX($E3,($AH3)),((($F3))^2-(MAX($E3,($AH3)))^2)/2,0))/(($F3)-($E3))))</f>
        <v/>
      </c>
      <c r="AJ3" s="10">
        <f>IF(($H3="锐"),'参数区'!$B$9,'参数区'!$B$10)</f>
        <v/>
      </c>
      <c r="AK3" s="10">
        <f>$AJ3*(1-$G3)</f>
        <v/>
      </c>
    </row>
    <row r="4">
      <c r="A4" s="7" t="inlineStr">
        <is>
          <t>短剑</t>
        </is>
      </c>
      <c r="B4" s="8" t="inlineStr">
        <is>
          <t>近战锐器，穿透12%</t>
        </is>
      </c>
      <c r="C4" s="7" t="inlineStr">
        <is>
          <t>否</t>
        </is>
      </c>
      <c r="D4" s="7" t="inlineStr">
        <is>
          <t>单手</t>
        </is>
      </c>
      <c r="E4" s="7" t="n">
        <v>6</v>
      </c>
      <c r="F4" s="7" t="n">
        <v>20</v>
      </c>
      <c r="G4" s="7" t="n">
        <v>0.12</v>
      </c>
      <c r="H4" s="7" t="inlineStr">
        <is>
          <t>锐</t>
        </is>
      </c>
      <c r="I4" s="7" t="n">
        <v>2.4</v>
      </c>
      <c r="J4" s="7" t="n">
        <v>1</v>
      </c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8" t="inlineStr"/>
      <c r="U4" s="9">
        <f>IF($I4&gt;0,$I4/IF($D4="双手",1.15,IF($D4="双持",1.4,1)),0)</f>
        <v/>
      </c>
      <c r="V4" s="9">
        <f>$U4+((IF($J4="",1,$J4))-1)*(IF($K4="",0,$K4))</f>
        <v/>
      </c>
      <c r="W4" s="9">
        <f>IF($V4&gt;0,(IF($J4="",1,$J4))/$V4,0)</f>
        <v/>
      </c>
      <c r="X4" s="9">
        <f>($E4+$F4)/2</f>
        <v/>
      </c>
      <c r="Y4" s="9">
        <f>$X4*$W4</f>
        <v/>
      </c>
      <c r="Z4" s="9">
        <f>IF(NOT(($C4="是")),1,IF($M4&lt;=0,1,IF('参数区'!$B$13&gt;$M4,0,IF(OR('参数区'!$B$13&lt;=$N4,$M4&lt;=$N4),1,1-('参数区'!$B$13-$N4)/($M4-$N4)*(1-$O4)))))</f>
        <v/>
      </c>
      <c r="AA4" s="9">
        <f>IF(NOT(($C4="是")),1,IF((IF($D4="双持",$L4*1.25,$L4))&lt;=0,1,MIN(1,DEGREES(ATAN(('参数区'!$B$14/2)/'参数区'!$B$13))/(IF($D4="双持",$L4*1.25,$L4)))))</f>
        <v/>
      </c>
      <c r="AB4" s="9">
        <f>IF(($AF4)&lt;=0,(($E4)+($F4))/2,IF(($F4)&lt;=($E4),IF(($AF4)&lt;=0,($E4),IF(($E4)&gt;=($AF4),($E4),IF(($E4)&gt;=($AF4)/2,($E4)*(($E4)+($AF4))/(2*($AF4)),3*($E4)^2/(2*($AF4))))),(IF(MIN($F4,($AF4)/2)&gt;($E4),((MIN($F4,($AF4)/2))^3-(($E4))^3)/(2*($AF4)),0)+IF(MIN($F4,($AF4))&gt;MAX($E4,($AF4)/2),((MIN($F4,($AF4)))^3-(MAX($E4,($AF4)/2))^3)/(6*($AF4))+((MIN($F4,($AF4)))^2-(MAX($E4,($AF4)/2))^2)/4,0)+IF(($F4)&gt;MAX($E4,($AF4)),((($F4))^2-(MAX($E4,($AF4)))^2)/2,0))/(($F4)-($E4))))</f>
        <v/>
      </c>
      <c r="AC4" s="9">
        <f>IF(($AK4)&lt;=0,((0)+($AI4))/2,IF(($AI4)&lt;=(0),IF(($AK4)&lt;=0,(0),IF((0)&gt;=($AK4),(0),IF((0)&gt;=($AK4)/2,(0)*((0)+($AK4))/(2*($AK4)),3*(0)^2/(2*($AK4))))),(IF(MIN($AI4,($AK4)/2)&gt;(0),((MIN($AI4,($AK4)/2))^3-((0))^3)/(2*($AK4)),0)+IF(MIN($AI4,($AK4))&gt;MAX(0,($AK4)/2),((MIN($AI4,($AK4)))^3-(MAX(0,($AK4)/2))^3)/(6*($AK4))+((MIN($AI4,($AK4)))^2-(MAX(0,($AK4)/2))^2)/4,0)+IF(($AI4)&gt;MAX(0,($AK4)),((($AI4))^2-(MAX(0,($AK4)))^2)/2,0))/(($AI4)-(0))))</f>
        <v/>
      </c>
      <c r="AD4" s="9">
        <f>$AC4*$W4*$AA4*$Z4</f>
        <v/>
      </c>
      <c r="AE4" s="10">
        <f>IF(($H4="锐"),'参数区'!$B$4,'参数区'!$B$5)</f>
        <v/>
      </c>
      <c r="AF4" s="10">
        <f>$AE4*(1-$G4)</f>
        <v/>
      </c>
      <c r="AG4" s="10">
        <f>IF(($H4="锐"),'参数区'!$B$7,'参数区'!$B$8)</f>
        <v/>
      </c>
      <c r="AH4" s="10">
        <f>$AG4*(1-$G4)</f>
        <v/>
      </c>
      <c r="AI4" s="10">
        <f>IF(($AH4)&lt;=0,(($E4)+($F4))/2,IF(($F4)&lt;=($E4),IF(($AH4)&lt;=0,($E4),IF(($E4)&gt;=($AH4),($E4),IF(($E4)&gt;=($AH4)/2,($E4)*(($E4)+($AH4))/(2*($AH4)),3*($E4)^2/(2*($AH4))))),(IF(MIN($F4,($AH4)/2)&gt;($E4),((MIN($F4,($AH4)/2))^3-(($E4))^3)/(2*($AH4)),0)+IF(MIN($F4,($AH4))&gt;MAX($E4,($AH4)/2),((MIN($F4,($AH4)))^3-(MAX($E4,($AH4)/2))^3)/(6*($AH4))+((MIN($F4,($AH4)))^2-(MAX($E4,($AH4)/2))^2)/4,0)+IF(($F4)&gt;MAX($E4,($AH4)),((($F4))^2-(MAX($E4,($AH4)))^2)/2,0))/(($F4)-($E4))))</f>
        <v/>
      </c>
      <c r="AJ4" s="10">
        <f>IF(($H4="锐"),'参数区'!$B$9,'参数区'!$B$10)</f>
        <v/>
      </c>
      <c r="AK4" s="10">
        <f>$AJ4*(1-$G4)</f>
        <v/>
      </c>
    </row>
    <row r="5">
      <c r="A5" s="7" t="inlineStr">
        <is>
          <t>刺剑</t>
        </is>
      </c>
      <c r="B5" s="8" t="inlineStr">
        <is>
          <t>单手突刺，区间窄穿透略高，可双持</t>
        </is>
      </c>
      <c r="C5" s="7" t="inlineStr">
        <is>
          <t>否</t>
        </is>
      </c>
      <c r="D5" s="7" t="inlineStr">
        <is>
          <t>单手</t>
        </is>
      </c>
      <c r="E5" s="7" t="n">
        <v>7</v>
      </c>
      <c r="F5" s="7" t="n">
        <v>18</v>
      </c>
      <c r="G5" s="7" t="n">
        <v>0.15</v>
      </c>
      <c r="H5" s="7" t="inlineStr">
        <is>
          <t>锐</t>
        </is>
      </c>
      <c r="I5" s="7" t="n">
        <v>1.9</v>
      </c>
      <c r="J5" s="7" t="n">
        <v>1</v>
      </c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8" t="inlineStr">
        <is>
          <t>可双持</t>
        </is>
      </c>
      <c r="U5" s="9">
        <f>IF($I5&gt;0,$I5/IF($D5="双手",1.15,IF($D5="双持",1.4,1)),0)</f>
        <v/>
      </c>
      <c r="V5" s="9">
        <f>$U5+((IF($J5="",1,$J5))-1)*(IF($K5="",0,$K5))</f>
        <v/>
      </c>
      <c r="W5" s="9">
        <f>IF($V5&gt;0,(IF($J5="",1,$J5))/$V5,0)</f>
        <v/>
      </c>
      <c r="X5" s="9">
        <f>($E5+$F5)/2</f>
        <v/>
      </c>
      <c r="Y5" s="9">
        <f>$X5*$W5</f>
        <v/>
      </c>
      <c r="Z5" s="9">
        <f>IF(NOT(($C5="是")),1,IF($M5&lt;=0,1,IF('参数区'!$B$13&gt;$M5,0,IF(OR('参数区'!$B$13&lt;=$N5,$M5&lt;=$N5),1,1-('参数区'!$B$13-$N5)/($M5-$N5)*(1-$O5)))))</f>
        <v/>
      </c>
      <c r="AA5" s="9">
        <f>IF(NOT(($C5="是")),1,IF((IF($D5="双持",$L5*1.25,$L5))&lt;=0,1,MIN(1,DEGREES(ATAN(('参数区'!$B$14/2)/'参数区'!$B$13))/(IF($D5="双持",$L5*1.25,$L5)))))</f>
        <v/>
      </c>
      <c r="AB5" s="9">
        <f>IF(($AF5)&lt;=0,(($E5)+($F5))/2,IF(($F5)&lt;=($E5),IF(($AF5)&lt;=0,($E5),IF(($E5)&gt;=($AF5),($E5),IF(($E5)&gt;=($AF5)/2,($E5)*(($E5)+($AF5))/(2*($AF5)),3*($E5)^2/(2*($AF5))))),(IF(MIN($F5,($AF5)/2)&gt;($E5),((MIN($F5,($AF5)/2))^3-(($E5))^3)/(2*($AF5)),0)+IF(MIN($F5,($AF5))&gt;MAX($E5,($AF5)/2),((MIN($F5,($AF5)))^3-(MAX($E5,($AF5)/2))^3)/(6*($AF5))+((MIN($F5,($AF5)))^2-(MAX($E5,($AF5)/2))^2)/4,0)+IF(($F5)&gt;MAX($E5,($AF5)),((($F5))^2-(MAX($E5,($AF5)))^2)/2,0))/(($F5)-($E5))))</f>
        <v/>
      </c>
      <c r="AC5" s="9">
        <f>IF(($AK5)&lt;=0,((0)+($AI5))/2,IF(($AI5)&lt;=(0),IF(($AK5)&lt;=0,(0),IF((0)&gt;=($AK5),(0),IF((0)&gt;=($AK5)/2,(0)*((0)+($AK5))/(2*($AK5)),3*(0)^2/(2*($AK5))))),(IF(MIN($AI5,($AK5)/2)&gt;(0),((MIN($AI5,($AK5)/2))^3-((0))^3)/(2*($AK5)),0)+IF(MIN($AI5,($AK5))&gt;MAX(0,($AK5)/2),((MIN($AI5,($AK5)))^3-(MAX(0,($AK5)/2))^3)/(6*($AK5))+((MIN($AI5,($AK5)))^2-(MAX(0,($AK5)/2))^2)/4,0)+IF(($AI5)&gt;MAX(0,($AK5)),((($AI5))^2-(MAX(0,($AK5)))^2)/2,0))/(($AI5)-(0))))</f>
        <v/>
      </c>
      <c r="AD5" s="9">
        <f>$AC5*$W5*$AA5*$Z5</f>
        <v/>
      </c>
      <c r="AE5" s="10">
        <f>IF(($H5="锐"),'参数区'!$B$4,'参数区'!$B$5)</f>
        <v/>
      </c>
      <c r="AF5" s="10">
        <f>$AE5*(1-$G5)</f>
        <v/>
      </c>
      <c r="AG5" s="10">
        <f>IF(($H5="锐"),'参数区'!$B$7,'参数区'!$B$8)</f>
        <v/>
      </c>
      <c r="AH5" s="10">
        <f>$AG5*(1-$G5)</f>
        <v/>
      </c>
      <c r="AI5" s="10">
        <f>IF(($AH5)&lt;=0,(($E5)+($F5))/2,IF(($F5)&lt;=($E5),IF(($AH5)&lt;=0,($E5),IF(($E5)&gt;=($AH5),($E5),IF(($E5)&gt;=($AH5)/2,($E5)*(($E5)+($AH5))/(2*($AH5)),3*($E5)^2/(2*($AH5))))),(IF(MIN($F5,($AH5)/2)&gt;($E5),((MIN($F5,($AH5)/2))^3-(($E5))^3)/(2*($AH5)),0)+IF(MIN($F5,($AH5))&gt;MAX($E5,($AH5)/2),((MIN($F5,($AH5)))^3-(MAX($E5,($AH5)/2))^3)/(6*($AH5))+((MIN($F5,($AH5)))^2-(MAX($E5,($AH5)/2))^2)/4,0)+IF(($F5)&gt;MAX($E5,($AH5)),((($F5))^2-(MAX($E5,($AH5)))^2)/2,0))/(($F5)-($E5))))</f>
        <v/>
      </c>
      <c r="AJ5" s="10">
        <f>IF(($H5="锐"),'参数区'!$B$9,'参数区'!$B$10)</f>
        <v/>
      </c>
      <c r="AK5" s="10">
        <f>$AJ5*(1-$G5)</f>
        <v/>
      </c>
    </row>
    <row r="6">
      <c r="A6" s="7" t="inlineStr">
        <is>
          <t>长剑</t>
        </is>
      </c>
      <c r="B6" s="8" t="inlineStr">
        <is>
          <t>近战锐器，穿透18%，双手</t>
        </is>
      </c>
      <c r="C6" s="7" t="inlineStr">
        <is>
          <t>否</t>
        </is>
      </c>
      <c r="D6" s="7" t="inlineStr">
        <is>
          <t>双手</t>
        </is>
      </c>
      <c r="E6" s="7" t="n">
        <v>10</v>
      </c>
      <c r="F6" s="7" t="n">
        <v>30</v>
      </c>
      <c r="G6" s="7" t="n">
        <v>0.18</v>
      </c>
      <c r="H6" s="7" t="inlineStr">
        <is>
          <t>锐</t>
        </is>
      </c>
      <c r="I6" s="7" t="n">
        <v>3.6</v>
      </c>
      <c r="J6" s="7" t="n">
        <v>1</v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8" t="inlineStr"/>
      <c r="U6" s="9">
        <f>IF($I6&gt;0,$I6/IF($D6="双手",1.15,IF($D6="双持",1.4,1)),0)</f>
        <v/>
      </c>
      <c r="V6" s="9">
        <f>$U6+((IF($J6="",1,$J6))-1)*(IF($K6="",0,$K6))</f>
        <v/>
      </c>
      <c r="W6" s="9">
        <f>IF($V6&gt;0,(IF($J6="",1,$J6))/$V6,0)</f>
        <v/>
      </c>
      <c r="X6" s="9">
        <f>($E6+$F6)/2</f>
        <v/>
      </c>
      <c r="Y6" s="9">
        <f>$X6*$W6</f>
        <v/>
      </c>
      <c r="Z6" s="9">
        <f>IF(NOT(($C6="是")),1,IF($M6&lt;=0,1,IF('参数区'!$B$13&gt;$M6,0,IF(OR('参数区'!$B$13&lt;=$N6,$M6&lt;=$N6),1,1-('参数区'!$B$13-$N6)/($M6-$N6)*(1-$O6)))))</f>
        <v/>
      </c>
      <c r="AA6" s="9">
        <f>IF(NOT(($C6="是")),1,IF((IF($D6="双持",$L6*1.25,$L6))&lt;=0,1,MIN(1,DEGREES(ATAN(('参数区'!$B$14/2)/'参数区'!$B$13))/(IF($D6="双持",$L6*1.25,$L6)))))</f>
        <v/>
      </c>
      <c r="AB6" s="9">
        <f>IF(($AF6)&lt;=0,(($E6)+($F6))/2,IF(($F6)&lt;=($E6),IF(($AF6)&lt;=0,($E6),IF(($E6)&gt;=($AF6),($E6),IF(($E6)&gt;=($AF6)/2,($E6)*(($E6)+($AF6))/(2*($AF6)),3*($E6)^2/(2*($AF6))))),(IF(MIN($F6,($AF6)/2)&gt;($E6),((MIN($F6,($AF6)/2))^3-(($E6))^3)/(2*($AF6)),0)+IF(MIN($F6,($AF6))&gt;MAX($E6,($AF6)/2),((MIN($F6,($AF6)))^3-(MAX($E6,($AF6)/2))^3)/(6*($AF6))+((MIN($F6,($AF6)))^2-(MAX($E6,($AF6)/2))^2)/4,0)+IF(($F6)&gt;MAX($E6,($AF6)),((($F6))^2-(MAX($E6,($AF6)))^2)/2,0))/(($F6)-($E6))))</f>
        <v/>
      </c>
      <c r="AC6" s="9">
        <f>IF(($AK6)&lt;=0,((0)+($AI6))/2,IF(($AI6)&lt;=(0),IF(($AK6)&lt;=0,(0),IF((0)&gt;=($AK6),(0),IF((0)&gt;=($AK6)/2,(0)*((0)+($AK6))/(2*($AK6)),3*(0)^2/(2*($AK6))))),(IF(MIN($AI6,($AK6)/2)&gt;(0),((MIN($AI6,($AK6)/2))^3-((0))^3)/(2*($AK6)),0)+IF(MIN($AI6,($AK6))&gt;MAX(0,($AK6)/2),((MIN($AI6,($AK6)))^3-(MAX(0,($AK6)/2))^3)/(6*($AK6))+((MIN($AI6,($AK6)))^2-(MAX(0,($AK6)/2))^2)/4,0)+IF(($AI6)&gt;MAX(0,($AK6)),((($AI6))^2-(MAX(0,($AK6)))^2)/2,0))/(($AI6)-(0))))</f>
        <v/>
      </c>
      <c r="AD6" s="9">
        <f>$AC6*$W6*$AA6*$Z6</f>
        <v/>
      </c>
      <c r="AE6" s="10">
        <f>IF(($H6="锐"),'参数区'!$B$4,'参数区'!$B$5)</f>
        <v/>
      </c>
      <c r="AF6" s="10">
        <f>$AE6*(1-$G6)</f>
        <v/>
      </c>
      <c r="AG6" s="10">
        <f>IF(($H6="锐"),'参数区'!$B$7,'参数区'!$B$8)</f>
        <v/>
      </c>
      <c r="AH6" s="10">
        <f>$AG6*(1-$G6)</f>
        <v/>
      </c>
      <c r="AI6" s="10">
        <f>IF(($AH6)&lt;=0,(($E6)+($F6))/2,IF(($F6)&lt;=($E6),IF(($AH6)&lt;=0,($E6),IF(($E6)&gt;=($AH6),($E6),IF(($E6)&gt;=($AH6)/2,($E6)*(($E6)+($AH6))/(2*($AH6)),3*($E6)^2/(2*($AH6))))),(IF(MIN($F6,($AH6)/2)&gt;($E6),((MIN($F6,($AH6)/2))^3-(($E6))^3)/(2*($AH6)),0)+IF(MIN($F6,($AH6))&gt;MAX($E6,($AH6)/2),((MIN($F6,($AH6)))^3-(MAX($E6,($AH6)/2))^3)/(6*($AH6))+((MIN($F6,($AH6)))^2-(MAX($E6,($AH6)/2))^2)/4,0)+IF(($F6)&gt;MAX($E6,($AH6)),((($F6))^2-(MAX($E6,($AH6)))^2)/2,0))/(($F6)-($E6))))</f>
        <v/>
      </c>
      <c r="AJ6" s="10">
        <f>IF(($H6="锐"),'参数区'!$B$9,'参数区'!$B$10)</f>
        <v/>
      </c>
      <c r="AK6" s="10">
        <f>$AJ6*(1-$G6)</f>
        <v/>
      </c>
    </row>
    <row r="7">
      <c r="A7" s="7" t="inlineStr">
        <is>
          <t>草叉</t>
        </is>
      </c>
      <c r="B7" s="8" t="inlineStr">
        <is>
          <t>双手农具多齿突刺</t>
        </is>
      </c>
      <c r="C7" s="7" t="inlineStr">
        <is>
          <t>否</t>
        </is>
      </c>
      <c r="D7" s="7" t="inlineStr">
        <is>
          <t>双手</t>
        </is>
      </c>
      <c r="E7" s="7" t="n">
        <v>9</v>
      </c>
      <c r="F7" s="7" t="n">
        <v>26</v>
      </c>
      <c r="G7" s="7" t="n">
        <v>0.16</v>
      </c>
      <c r="H7" s="7" t="inlineStr">
        <is>
          <t>锐</t>
        </is>
      </c>
      <c r="I7" s="7" t="n">
        <v>3.7</v>
      </c>
      <c r="J7" s="7" t="n">
        <v>1</v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8" t="inlineStr"/>
      <c r="U7" s="9">
        <f>IF($I7&gt;0,$I7/IF($D7="双手",1.15,IF($D7="双持",1.4,1)),0)</f>
        <v/>
      </c>
      <c r="V7" s="9">
        <f>$U7+((IF($J7="",1,$J7))-1)*(IF($K7="",0,$K7))</f>
        <v/>
      </c>
      <c r="W7" s="9">
        <f>IF($V7&gt;0,(IF($J7="",1,$J7))/$V7,0)</f>
        <v/>
      </c>
      <c r="X7" s="9">
        <f>($E7+$F7)/2</f>
        <v/>
      </c>
      <c r="Y7" s="9">
        <f>$X7*$W7</f>
        <v/>
      </c>
      <c r="Z7" s="9">
        <f>IF(NOT(($C7="是")),1,IF($M7&lt;=0,1,IF('参数区'!$B$13&gt;$M7,0,IF(OR('参数区'!$B$13&lt;=$N7,$M7&lt;=$N7),1,1-('参数区'!$B$13-$N7)/($M7-$N7)*(1-$O7)))))</f>
        <v/>
      </c>
      <c r="AA7" s="9">
        <f>IF(NOT(($C7="是")),1,IF((IF($D7="双持",$L7*1.25,$L7))&lt;=0,1,MIN(1,DEGREES(ATAN(('参数区'!$B$14/2)/'参数区'!$B$13))/(IF($D7="双持",$L7*1.25,$L7)))))</f>
        <v/>
      </c>
      <c r="AB7" s="9">
        <f>IF(($AF7)&lt;=0,(($E7)+($F7))/2,IF(($F7)&lt;=($E7),IF(($AF7)&lt;=0,($E7),IF(($E7)&gt;=($AF7),($E7),IF(($E7)&gt;=($AF7)/2,($E7)*(($E7)+($AF7))/(2*($AF7)),3*($E7)^2/(2*($AF7))))),(IF(MIN($F7,($AF7)/2)&gt;($E7),((MIN($F7,($AF7)/2))^3-(($E7))^3)/(2*($AF7)),0)+IF(MIN($F7,($AF7))&gt;MAX($E7,($AF7)/2),((MIN($F7,($AF7)))^3-(MAX($E7,($AF7)/2))^3)/(6*($AF7))+((MIN($F7,($AF7)))^2-(MAX($E7,($AF7)/2))^2)/4,0)+IF(($F7)&gt;MAX($E7,($AF7)),((($F7))^2-(MAX($E7,($AF7)))^2)/2,0))/(($F7)-($E7))))</f>
        <v/>
      </c>
      <c r="AC7" s="9">
        <f>IF(($AK7)&lt;=0,((0)+($AI7))/2,IF(($AI7)&lt;=(0),IF(($AK7)&lt;=0,(0),IF((0)&gt;=($AK7),(0),IF((0)&gt;=($AK7)/2,(0)*((0)+($AK7))/(2*($AK7)),3*(0)^2/(2*($AK7))))),(IF(MIN($AI7,($AK7)/2)&gt;(0),((MIN($AI7,($AK7)/2))^3-((0))^3)/(2*($AK7)),0)+IF(MIN($AI7,($AK7))&gt;MAX(0,($AK7)/2),((MIN($AI7,($AK7)))^3-(MAX(0,($AK7)/2))^3)/(6*($AK7))+((MIN($AI7,($AK7)))^2-(MAX(0,($AK7)/2))^2)/4,0)+IF(($AI7)&gt;MAX(0,($AK7)),((($AI7))^2-(MAX(0,($AK7)))^2)/2,0))/(($AI7)-(0))))</f>
        <v/>
      </c>
      <c r="AD7" s="9">
        <f>$AC7*$W7*$AA7*$Z7</f>
        <v/>
      </c>
      <c r="AE7" s="10">
        <f>IF(($H7="锐"),'参数区'!$B$4,'参数区'!$B$5)</f>
        <v/>
      </c>
      <c r="AF7" s="10">
        <f>$AE7*(1-$G7)</f>
        <v/>
      </c>
      <c r="AG7" s="10">
        <f>IF(($H7="锐"),'参数区'!$B$7,'参数区'!$B$8)</f>
        <v/>
      </c>
      <c r="AH7" s="10">
        <f>$AG7*(1-$G7)</f>
        <v/>
      </c>
      <c r="AI7" s="10">
        <f>IF(($AH7)&lt;=0,(($E7)+($F7))/2,IF(($F7)&lt;=($E7),IF(($AH7)&lt;=0,($E7),IF(($E7)&gt;=($AH7),($E7),IF(($E7)&gt;=($AH7)/2,($E7)*(($E7)+($AH7))/(2*($AH7)),3*($E7)^2/(2*($AH7))))),(IF(MIN($F7,($AH7)/2)&gt;($E7),((MIN($F7,($AH7)/2))^3-(($E7))^3)/(2*($AH7)),0)+IF(MIN($F7,($AH7))&gt;MAX($E7,($AH7)/2),((MIN($F7,($AH7)))^3-(MAX($E7,($AH7)/2))^3)/(6*($AH7))+((MIN($F7,($AH7)))^2-(MAX($E7,($AH7)/2))^2)/4,0)+IF(($F7)&gt;MAX($E7,($AH7)),((($F7))^2-(MAX($E7,($AH7)))^2)/2,0))/(($F7)-($E7))))</f>
        <v/>
      </c>
      <c r="AJ7" s="10">
        <f>IF(($H7="锐"),'参数区'!$B$9,'参数区'!$B$10)</f>
        <v/>
      </c>
      <c r="AK7" s="10">
        <f>$AJ7*(1-$G7)</f>
        <v/>
      </c>
    </row>
    <row r="8">
      <c r="A8" s="7" t="inlineStr">
        <is>
          <t>重剑</t>
        </is>
      </c>
      <c r="B8" s="8" t="inlineStr">
        <is>
          <t>近战锐器，穿透24%，双手</t>
        </is>
      </c>
      <c r="C8" s="7" t="inlineStr">
        <is>
          <t>否</t>
        </is>
      </c>
      <c r="D8" s="7" t="inlineStr">
        <is>
          <t>双手</t>
        </is>
      </c>
      <c r="E8" s="7" t="n">
        <v>14</v>
      </c>
      <c r="F8" s="7" t="n">
        <v>40</v>
      </c>
      <c r="G8" s="7" t="n">
        <v>0.24</v>
      </c>
      <c r="H8" s="7" t="inlineStr">
        <is>
          <t>锐</t>
        </is>
      </c>
      <c r="I8" s="7" t="n">
        <v>4</v>
      </c>
      <c r="J8" s="7" t="n">
        <v>1</v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8" t="inlineStr"/>
      <c r="U8" s="9">
        <f>IF($I8&gt;0,$I8/IF($D8="双手",1.15,IF($D8="双持",1.4,1)),0)</f>
        <v/>
      </c>
      <c r="V8" s="9">
        <f>$U8+((IF($J8="",1,$J8))-1)*(IF($K8="",0,$K8))</f>
        <v/>
      </c>
      <c r="W8" s="9">
        <f>IF($V8&gt;0,(IF($J8="",1,$J8))/$V8,0)</f>
        <v/>
      </c>
      <c r="X8" s="9">
        <f>($E8+$F8)/2</f>
        <v/>
      </c>
      <c r="Y8" s="9">
        <f>$X8*$W8</f>
        <v/>
      </c>
      <c r="Z8" s="9">
        <f>IF(NOT(($C8="是")),1,IF($M8&lt;=0,1,IF('参数区'!$B$13&gt;$M8,0,IF(OR('参数区'!$B$13&lt;=$N8,$M8&lt;=$N8),1,1-('参数区'!$B$13-$N8)/($M8-$N8)*(1-$O8)))))</f>
        <v/>
      </c>
      <c r="AA8" s="9">
        <f>IF(NOT(($C8="是")),1,IF((IF($D8="双持",$L8*1.25,$L8))&lt;=0,1,MIN(1,DEGREES(ATAN(('参数区'!$B$14/2)/'参数区'!$B$13))/(IF($D8="双持",$L8*1.25,$L8)))))</f>
        <v/>
      </c>
      <c r="AB8" s="9">
        <f>IF(($AF8)&lt;=0,(($E8)+($F8))/2,IF(($F8)&lt;=($E8),IF(($AF8)&lt;=0,($E8),IF(($E8)&gt;=($AF8),($E8),IF(($E8)&gt;=($AF8)/2,($E8)*(($E8)+($AF8))/(2*($AF8)),3*($E8)^2/(2*($AF8))))),(IF(MIN($F8,($AF8)/2)&gt;($E8),((MIN($F8,($AF8)/2))^3-(($E8))^3)/(2*($AF8)),0)+IF(MIN($F8,($AF8))&gt;MAX($E8,($AF8)/2),((MIN($F8,($AF8)))^3-(MAX($E8,($AF8)/2))^3)/(6*($AF8))+((MIN($F8,($AF8)))^2-(MAX($E8,($AF8)/2))^2)/4,0)+IF(($F8)&gt;MAX($E8,($AF8)),((($F8))^2-(MAX($E8,($AF8)))^2)/2,0))/(($F8)-($E8))))</f>
        <v/>
      </c>
      <c r="AC8" s="9">
        <f>IF(($AK8)&lt;=0,((0)+($AI8))/2,IF(($AI8)&lt;=(0),IF(($AK8)&lt;=0,(0),IF((0)&gt;=($AK8),(0),IF((0)&gt;=($AK8)/2,(0)*((0)+($AK8))/(2*($AK8)),3*(0)^2/(2*($AK8))))),(IF(MIN($AI8,($AK8)/2)&gt;(0),((MIN($AI8,($AK8)/2))^3-((0))^3)/(2*($AK8)),0)+IF(MIN($AI8,($AK8))&gt;MAX(0,($AK8)/2),((MIN($AI8,($AK8)))^3-(MAX(0,($AK8)/2))^3)/(6*($AK8))+((MIN($AI8,($AK8)))^2-(MAX(0,($AK8)/2))^2)/4,0)+IF(($AI8)&gt;MAX(0,($AK8)),((($AI8))^2-(MAX(0,($AK8)))^2)/2,0))/(($AI8)-(0))))</f>
        <v/>
      </c>
      <c r="AD8" s="9">
        <f>$AC8*$W8*$AA8*$Z8</f>
        <v/>
      </c>
      <c r="AE8" s="10">
        <f>IF(($H8="锐"),'参数区'!$B$4,'参数区'!$B$5)</f>
        <v/>
      </c>
      <c r="AF8" s="10">
        <f>$AE8*(1-$G8)</f>
        <v/>
      </c>
      <c r="AG8" s="10">
        <f>IF(($H8="锐"),'参数区'!$B$7,'参数区'!$B$8)</f>
        <v/>
      </c>
      <c r="AH8" s="10">
        <f>$AG8*(1-$G8)</f>
        <v/>
      </c>
      <c r="AI8" s="10">
        <f>IF(($AH8)&lt;=0,(($E8)+($F8))/2,IF(($F8)&lt;=($E8),IF(($AH8)&lt;=0,($E8),IF(($E8)&gt;=($AH8),($E8),IF(($E8)&gt;=($AH8)/2,($E8)*(($E8)+($AH8))/(2*($AH8)),3*($E8)^2/(2*($AH8))))),(IF(MIN($F8,($AH8)/2)&gt;($E8),((MIN($F8,($AH8)/2))^3-(($E8))^3)/(2*($AH8)),0)+IF(MIN($F8,($AH8))&gt;MAX($E8,($AH8)/2),((MIN($F8,($AH8)))^3-(MAX($E8,($AH8)/2))^3)/(6*($AH8))+((MIN($F8,($AH8)))^2-(MAX($E8,($AH8)/2))^2)/4,0)+IF(($F8)&gt;MAX($E8,($AH8)),((($F8))^2-(MAX($E8,($AH8)))^2)/2,0))/(($F8)-($E8))))</f>
        <v/>
      </c>
      <c r="AJ8" s="10">
        <f>IF(($H8="锐"),'参数区'!$B$9,'参数区'!$B$10)</f>
        <v/>
      </c>
      <c r="AK8" s="10">
        <f>$AJ8*(1-$G8)</f>
        <v/>
      </c>
    </row>
    <row r="9">
      <c r="A9" s="7" t="inlineStr">
        <is>
          <t>棍棒</t>
        </is>
      </c>
      <c r="B9" s="8" t="inlineStr">
        <is>
          <t>近战钝器，穿透3%</t>
        </is>
      </c>
      <c r="C9" s="7" t="inlineStr">
        <is>
          <t>否</t>
        </is>
      </c>
      <c r="D9" s="7" t="inlineStr">
        <is>
          <t>单手</t>
        </is>
      </c>
      <c r="E9" s="7" t="n">
        <v>7</v>
      </c>
      <c r="F9" s="7" t="n">
        <v>9</v>
      </c>
      <c r="G9" s="7" t="n">
        <v>0.03</v>
      </c>
      <c r="H9" s="7" t="inlineStr">
        <is>
          <t>钝</t>
        </is>
      </c>
      <c r="I9" s="7" t="n">
        <v>2.4</v>
      </c>
      <c r="J9" s="7" t="n">
        <v>1</v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8" t="inlineStr"/>
      <c r="U9" s="9">
        <f>IF($I9&gt;0,$I9/IF($D9="双手",1.15,IF($D9="双持",1.4,1)),0)</f>
        <v/>
      </c>
      <c r="V9" s="9">
        <f>$U9+((IF($J9="",1,$J9))-1)*(IF($K9="",0,$K9))</f>
        <v/>
      </c>
      <c r="W9" s="9">
        <f>IF($V9&gt;0,(IF($J9="",1,$J9))/$V9,0)</f>
        <v/>
      </c>
      <c r="X9" s="9">
        <f>($E9+$F9)/2</f>
        <v/>
      </c>
      <c r="Y9" s="9">
        <f>$X9*$W9</f>
        <v/>
      </c>
      <c r="Z9" s="9">
        <f>IF(NOT(($C9="是")),1,IF($M9&lt;=0,1,IF('参数区'!$B$13&gt;$M9,0,IF(OR('参数区'!$B$13&lt;=$N9,$M9&lt;=$N9),1,1-('参数区'!$B$13-$N9)/($M9-$N9)*(1-$O9)))))</f>
        <v/>
      </c>
      <c r="AA9" s="9">
        <f>IF(NOT(($C9="是")),1,IF((IF($D9="双持",$L9*1.25,$L9))&lt;=0,1,MIN(1,DEGREES(ATAN(('参数区'!$B$14/2)/'参数区'!$B$13))/(IF($D9="双持",$L9*1.25,$L9)))))</f>
        <v/>
      </c>
      <c r="AB9" s="9">
        <f>IF(($AF9)&lt;=0,(($E9)+($F9))/2,IF(($F9)&lt;=($E9),IF(($AF9)&lt;=0,($E9),IF(($E9)&gt;=($AF9),($E9),IF(($E9)&gt;=($AF9)/2,($E9)*(($E9)+($AF9))/(2*($AF9)),3*($E9)^2/(2*($AF9))))),(IF(MIN($F9,($AF9)/2)&gt;($E9),((MIN($F9,($AF9)/2))^3-(($E9))^3)/(2*($AF9)),0)+IF(MIN($F9,($AF9))&gt;MAX($E9,($AF9)/2),((MIN($F9,($AF9)))^3-(MAX($E9,($AF9)/2))^3)/(6*($AF9))+((MIN($F9,($AF9)))^2-(MAX($E9,($AF9)/2))^2)/4,0)+IF(($F9)&gt;MAX($E9,($AF9)),((($F9))^2-(MAX($E9,($AF9)))^2)/2,0))/(($F9)-($E9))))</f>
        <v/>
      </c>
      <c r="AC9" s="9">
        <f>IF(($AK9)&lt;=0,((0)+($AI9))/2,IF(($AI9)&lt;=(0),IF(($AK9)&lt;=0,(0),IF((0)&gt;=($AK9),(0),IF((0)&gt;=($AK9)/2,(0)*((0)+($AK9))/(2*($AK9)),3*(0)^2/(2*($AK9))))),(IF(MIN($AI9,($AK9)/2)&gt;(0),((MIN($AI9,($AK9)/2))^3-((0))^3)/(2*($AK9)),0)+IF(MIN($AI9,($AK9))&gt;MAX(0,($AK9)/2),((MIN($AI9,($AK9)))^3-(MAX(0,($AK9)/2))^3)/(6*($AK9))+((MIN($AI9,($AK9)))^2-(MAX(0,($AK9)/2))^2)/4,0)+IF(($AI9)&gt;MAX(0,($AK9)),((($AI9))^2-(MAX(0,($AK9)))^2)/2,0))/(($AI9)-(0))))</f>
        <v/>
      </c>
      <c r="AD9" s="9">
        <f>$AC9*$W9*$AA9*$Z9</f>
        <v/>
      </c>
      <c r="AE9" s="10">
        <f>IF(($H9="锐"),'参数区'!$B$4,'参数区'!$B$5)</f>
        <v/>
      </c>
      <c r="AF9" s="10">
        <f>$AE9*(1-$G9)</f>
        <v/>
      </c>
      <c r="AG9" s="10">
        <f>IF(($H9="锐"),'参数区'!$B$7,'参数区'!$B$8)</f>
        <v/>
      </c>
      <c r="AH9" s="10">
        <f>$AG9*(1-$G9)</f>
        <v/>
      </c>
      <c r="AI9" s="10">
        <f>IF(($AH9)&lt;=0,(($E9)+($F9))/2,IF(($F9)&lt;=($E9),IF(($AH9)&lt;=0,($E9),IF(($E9)&gt;=($AH9),($E9),IF(($E9)&gt;=($AH9)/2,($E9)*(($E9)+($AH9))/(2*($AH9)),3*($E9)^2/(2*($AH9))))),(IF(MIN($F9,($AH9)/2)&gt;($E9),((MIN($F9,($AH9)/2))^3-(($E9))^3)/(2*($AH9)),0)+IF(MIN($F9,($AH9))&gt;MAX($E9,($AH9)/2),((MIN($F9,($AH9)))^3-(MAX($E9,($AH9)/2))^3)/(6*($AH9))+((MIN($F9,($AH9)))^2-(MAX($E9,($AH9)/2))^2)/4,0)+IF(($F9)&gt;MAX($E9,($AH9)),((($F9))^2-(MAX($E9,($AH9)))^2)/2,0))/(($F9)-($E9))))</f>
        <v/>
      </c>
      <c r="AJ9" s="10">
        <f>IF(($H9="锐"),'参数区'!$B$9,'参数区'!$B$10)</f>
        <v/>
      </c>
      <c r="AK9" s="10">
        <f>$AJ9*(1-$G9)</f>
        <v/>
      </c>
    </row>
    <row r="10">
      <c r="A10" s="7" t="inlineStr">
        <is>
          <t>尖头锤</t>
        </is>
      </c>
      <c r="B10" s="8" t="inlineStr">
        <is>
          <t>近战钝器，穿透5%</t>
        </is>
      </c>
      <c r="C10" s="7" t="inlineStr">
        <is>
          <t>否</t>
        </is>
      </c>
      <c r="D10" s="7" t="inlineStr">
        <is>
          <t>单手</t>
        </is>
      </c>
      <c r="E10" s="7" t="n">
        <v>12</v>
      </c>
      <c r="F10" s="7" t="n">
        <v>16</v>
      </c>
      <c r="G10" s="7" t="n">
        <v>0.05</v>
      </c>
      <c r="H10" s="7" t="inlineStr">
        <is>
          <t>钝</t>
        </is>
      </c>
      <c r="I10" s="7" t="n">
        <v>3.7</v>
      </c>
      <c r="J10" s="7" t="n">
        <v>1</v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8" t="inlineStr"/>
      <c r="U10" s="9">
        <f>IF($I10&gt;0,$I10/IF($D10="双手",1.15,IF($D10="双持",1.4,1)),0)</f>
        <v/>
      </c>
      <c r="V10" s="9">
        <f>$U10+((IF($J10="",1,$J10))-1)*(IF($K10="",0,$K10))</f>
        <v/>
      </c>
      <c r="W10" s="9">
        <f>IF($V10&gt;0,(IF($J10="",1,$J10))/$V10,0)</f>
        <v/>
      </c>
      <c r="X10" s="9">
        <f>($E10+$F10)/2</f>
        <v/>
      </c>
      <c r="Y10" s="9">
        <f>$X10*$W10</f>
        <v/>
      </c>
      <c r="Z10" s="9">
        <f>IF(NOT(($C10="是")),1,IF($M10&lt;=0,1,IF('参数区'!$B$13&gt;$M10,0,IF(OR('参数区'!$B$13&lt;=$N10,$M10&lt;=$N10),1,1-('参数区'!$B$13-$N10)/($M10-$N10)*(1-$O10)))))</f>
        <v/>
      </c>
      <c r="AA10" s="9">
        <f>IF(NOT(($C10="是")),1,IF((IF($D10="双持",$L10*1.25,$L10))&lt;=0,1,MIN(1,DEGREES(ATAN(('参数区'!$B$14/2)/'参数区'!$B$13))/(IF($D10="双持",$L10*1.25,$L10)))))</f>
        <v/>
      </c>
      <c r="AB10" s="9">
        <f>IF(($AF10)&lt;=0,(($E10)+($F10))/2,IF(($F10)&lt;=($E10),IF(($AF10)&lt;=0,($E10),IF(($E10)&gt;=($AF10),($E10),IF(($E10)&gt;=($AF10)/2,($E10)*(($E10)+($AF10))/(2*($AF10)),3*($E10)^2/(2*($AF10))))),(IF(MIN($F10,($AF10)/2)&gt;($E10),((MIN($F10,($AF10)/2))^3-(($E10))^3)/(2*($AF10)),0)+IF(MIN($F10,($AF10))&gt;MAX($E10,($AF10)/2),((MIN($F10,($AF10)))^3-(MAX($E10,($AF10)/2))^3)/(6*($AF10))+((MIN($F10,($AF10)))^2-(MAX($E10,($AF10)/2))^2)/4,0)+IF(($F10)&gt;MAX($E10,($AF10)),((($F10))^2-(MAX($E10,($AF10)))^2)/2,0))/(($F10)-($E10))))</f>
        <v/>
      </c>
      <c r="AC10" s="9">
        <f>IF(($AK10)&lt;=0,((0)+($AI10))/2,IF(($AI10)&lt;=(0),IF(($AK10)&lt;=0,(0),IF((0)&gt;=($AK10),(0),IF((0)&gt;=($AK10)/2,(0)*((0)+($AK10))/(2*($AK10)),3*(0)^2/(2*($AK10))))),(IF(MIN($AI10,($AK10)/2)&gt;(0),((MIN($AI10,($AK10)/2))^3-((0))^3)/(2*($AK10)),0)+IF(MIN($AI10,($AK10))&gt;MAX(0,($AK10)/2),((MIN($AI10,($AK10)))^3-(MAX(0,($AK10)/2))^3)/(6*($AK10))+((MIN($AI10,($AK10)))^2-(MAX(0,($AK10)/2))^2)/4,0)+IF(($AI10)&gt;MAX(0,($AK10)),((($AI10))^2-(MAX(0,($AK10)))^2)/2,0))/(($AI10)-(0))))</f>
        <v/>
      </c>
      <c r="AD10" s="9">
        <f>$AC10*$W10*$AA10*$Z10</f>
        <v/>
      </c>
      <c r="AE10" s="10">
        <f>IF(($H10="锐"),'参数区'!$B$4,'参数区'!$B$5)</f>
        <v/>
      </c>
      <c r="AF10" s="10">
        <f>$AE10*(1-$G10)</f>
        <v/>
      </c>
      <c r="AG10" s="10">
        <f>IF(($H10="锐"),'参数区'!$B$7,'参数区'!$B$8)</f>
        <v/>
      </c>
      <c r="AH10" s="10">
        <f>$AG10*(1-$G10)</f>
        <v/>
      </c>
      <c r="AI10" s="10">
        <f>IF(($AH10)&lt;=0,(($E10)+($F10))/2,IF(($F10)&lt;=($E10),IF(($AH10)&lt;=0,($E10),IF(($E10)&gt;=($AH10),($E10),IF(($E10)&gt;=($AH10)/2,($E10)*(($E10)+($AH10))/(2*($AH10)),3*($E10)^2/(2*($AH10))))),(IF(MIN($F10,($AH10)/2)&gt;($E10),((MIN($F10,($AH10)/2))^3-(($E10))^3)/(2*($AH10)),0)+IF(MIN($F10,($AH10))&gt;MAX($E10,($AH10)/2),((MIN($F10,($AH10)))^3-(MAX($E10,($AH10)/2))^3)/(6*($AH10))+((MIN($F10,($AH10)))^2-(MAX($E10,($AH10)/2))^2)/4,0)+IF(($F10)&gt;MAX($E10,($AH10)),((($F10))^2-(MAX($E10,($AH10)))^2)/2,0))/(($F10)-($E10))))</f>
        <v/>
      </c>
      <c r="AJ10" s="10">
        <f>IF(($H10="锐"),'参数区'!$B$9,'参数区'!$B$10)</f>
        <v/>
      </c>
      <c r="AK10" s="10">
        <f>$AJ10*(1-$G10)</f>
        <v/>
      </c>
    </row>
    <row r="11">
      <c r="A11" s="7" t="inlineStr">
        <is>
          <t>破甲锤</t>
        </is>
      </c>
      <c r="B11" s="8" t="inlineStr">
        <is>
          <t>近战钝器，穿透35%(破甲专精)，重型双手</t>
        </is>
      </c>
      <c r="C11" s="7" t="inlineStr">
        <is>
          <t>否</t>
        </is>
      </c>
      <c r="D11" s="7" t="inlineStr">
        <is>
          <t>双手</t>
        </is>
      </c>
      <c r="E11" s="7" t="n">
        <v>20</v>
      </c>
      <c r="F11" s="7" t="n">
        <v>28</v>
      </c>
      <c r="G11" s="7" t="n">
        <v>0.35</v>
      </c>
      <c r="H11" s="7" t="inlineStr">
        <is>
          <t>钝</t>
        </is>
      </c>
      <c r="I11" s="7" t="n">
        <v>4.5</v>
      </c>
      <c r="J11" s="7" t="n">
        <v>1</v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8" t="inlineStr"/>
      <c r="U11" s="9">
        <f>IF($I11&gt;0,$I11/IF($D11="双手",1.15,IF($D11="双持",1.4,1)),0)</f>
        <v/>
      </c>
      <c r="V11" s="9">
        <f>$U11+((IF($J11="",1,$J11))-1)*(IF($K11="",0,$K11))</f>
        <v/>
      </c>
      <c r="W11" s="9">
        <f>IF($V11&gt;0,(IF($J11="",1,$J11))/$V11,0)</f>
        <v/>
      </c>
      <c r="X11" s="9">
        <f>($E11+$F11)/2</f>
        <v/>
      </c>
      <c r="Y11" s="9">
        <f>$X11*$W11</f>
        <v/>
      </c>
      <c r="Z11" s="9">
        <f>IF(NOT(($C11="是")),1,IF($M11&lt;=0,1,IF('参数区'!$B$13&gt;$M11,0,IF(OR('参数区'!$B$13&lt;=$N11,$M11&lt;=$N11),1,1-('参数区'!$B$13-$N11)/($M11-$N11)*(1-$O11)))))</f>
        <v/>
      </c>
      <c r="AA11" s="9">
        <f>IF(NOT(($C11="是")),1,IF((IF($D11="双持",$L11*1.25,$L11))&lt;=0,1,MIN(1,DEGREES(ATAN(('参数区'!$B$14/2)/'参数区'!$B$13))/(IF($D11="双持",$L11*1.25,$L11)))))</f>
        <v/>
      </c>
      <c r="AB11" s="9">
        <f>IF(($AF11)&lt;=0,(($E11)+($F11))/2,IF(($F11)&lt;=($E11),IF(($AF11)&lt;=0,($E11),IF(($E11)&gt;=($AF11),($E11),IF(($E11)&gt;=($AF11)/2,($E11)*(($E11)+($AF11))/(2*($AF11)),3*($E11)^2/(2*($AF11))))),(IF(MIN($F11,($AF11)/2)&gt;($E11),((MIN($F11,($AF11)/2))^3-(($E11))^3)/(2*($AF11)),0)+IF(MIN($F11,($AF11))&gt;MAX($E11,($AF11)/2),((MIN($F11,($AF11)))^3-(MAX($E11,($AF11)/2))^3)/(6*($AF11))+((MIN($F11,($AF11)))^2-(MAX($E11,($AF11)/2))^2)/4,0)+IF(($F11)&gt;MAX($E11,($AF11)),((($F11))^2-(MAX($E11,($AF11)))^2)/2,0))/(($F11)-($E11))))</f>
        <v/>
      </c>
      <c r="AC11" s="9">
        <f>IF(($AK11)&lt;=0,((0)+($AI11))/2,IF(($AI11)&lt;=(0),IF(($AK11)&lt;=0,(0),IF((0)&gt;=($AK11),(0),IF((0)&gt;=($AK11)/2,(0)*((0)+($AK11))/(2*($AK11)),3*(0)^2/(2*($AK11))))),(IF(MIN($AI11,($AK11)/2)&gt;(0),((MIN($AI11,($AK11)/2))^3-((0))^3)/(2*($AK11)),0)+IF(MIN($AI11,($AK11))&gt;MAX(0,($AK11)/2),((MIN($AI11,($AK11)))^3-(MAX(0,($AK11)/2))^3)/(6*($AK11))+((MIN($AI11,($AK11)))^2-(MAX(0,($AK11)/2))^2)/4,0)+IF(($AI11)&gt;MAX(0,($AK11)),((($AI11))^2-(MAX(0,($AK11)))^2)/2,0))/(($AI11)-(0))))</f>
        <v/>
      </c>
      <c r="AD11" s="9">
        <f>$AC11*$W11*$AA11*$Z11</f>
        <v/>
      </c>
      <c r="AE11" s="10">
        <f>IF(($H11="锐"),'参数区'!$B$4,'参数区'!$B$5)</f>
        <v/>
      </c>
      <c r="AF11" s="10">
        <f>$AE11*(1-$G11)</f>
        <v/>
      </c>
      <c r="AG11" s="10">
        <f>IF(($H11="锐"),'参数区'!$B$7,'参数区'!$B$8)</f>
        <v/>
      </c>
      <c r="AH11" s="10">
        <f>$AG11*(1-$G11)</f>
        <v/>
      </c>
      <c r="AI11" s="10">
        <f>IF(($AH11)&lt;=0,(($E11)+($F11))/2,IF(($F11)&lt;=($E11),IF(($AH11)&lt;=0,($E11),IF(($E11)&gt;=($AH11),($E11),IF(($E11)&gt;=($AH11)/2,($E11)*(($E11)+($AH11))/(2*($AH11)),3*($E11)^2/(2*($AH11))))),(IF(MIN($F11,($AH11)/2)&gt;($E11),((MIN($F11,($AH11)/2))^3-(($E11))^3)/(2*($AH11)),0)+IF(MIN($F11,($AH11))&gt;MAX($E11,($AH11)/2),((MIN($F11,($AH11)))^3-(MAX($E11,($AH11)/2))^3)/(6*($AH11))+((MIN($F11,($AH11)))^2-(MAX($E11,($AH11)/2))^2)/4,0)+IF(($F11)&gt;MAX($E11,($AH11)),((($F11))^2-(MAX($E11,($AH11)))^2)/2,0))/(($F11)-($E11))))</f>
        <v/>
      </c>
      <c r="AJ11" s="10">
        <f>IF(($H11="锐"),'参数区'!$B$9,'参数区'!$B$10)</f>
        <v/>
      </c>
      <c r="AK11" s="10">
        <f>$AJ11*(1-$G11)</f>
        <v/>
      </c>
    </row>
    <row r="12">
      <c r="A12" s="7" t="inlineStr">
        <is>
          <t>土制枪</t>
        </is>
      </c>
      <c r="B12" s="8" t="inlineStr">
        <is>
          <t>远程锐器，误差大，枪托可钝击</t>
        </is>
      </c>
      <c r="C12" s="7" t="inlineStr">
        <is>
          <t>是</t>
        </is>
      </c>
      <c r="D12" s="7" t="inlineStr">
        <is>
          <t>单手</t>
        </is>
      </c>
      <c r="E12" s="7" t="n">
        <v>11</v>
      </c>
      <c r="F12" s="7" t="n">
        <v>22</v>
      </c>
      <c r="G12" s="7" t="n">
        <v>0.1</v>
      </c>
      <c r="H12" s="7" t="inlineStr">
        <is>
          <t>锐</t>
        </is>
      </c>
      <c r="I12" s="7" t="n">
        <v>3.5</v>
      </c>
      <c r="J12" s="7" t="n">
        <v>1</v>
      </c>
      <c r="K12" s="7" t="inlineStr"/>
      <c r="L12" s="7" t="n">
        <v>8</v>
      </c>
      <c r="M12" s="7" t="n">
        <v>130</v>
      </c>
      <c r="N12" s="7" t="n">
        <v>25</v>
      </c>
      <c r="O12" s="7" t="n">
        <v>0.35</v>
      </c>
      <c r="P12" s="7" t="n">
        <v>3</v>
      </c>
      <c r="Q12" s="7" t="n">
        <v>5</v>
      </c>
      <c r="R12" s="7" t="n">
        <v>1.4</v>
      </c>
      <c r="S12" s="7" t="n">
        <v>0.02</v>
      </c>
      <c r="T12" s="8" t="inlineStr"/>
      <c r="U12" s="9">
        <f>IF($I12&gt;0,$I12/IF($D12="双手",1.15,IF($D12="双持",1.4,1)),0)</f>
        <v/>
      </c>
      <c r="V12" s="9">
        <f>$U12+((IF($J12="",1,$J12))-1)*(IF($K12="",0,$K12))</f>
        <v/>
      </c>
      <c r="W12" s="9">
        <f>IF($V12&gt;0,(IF($J12="",1,$J12))/$V12,0)</f>
        <v/>
      </c>
      <c r="X12" s="9">
        <f>($E12+$F12)/2</f>
        <v/>
      </c>
      <c r="Y12" s="9">
        <f>$X12*$W12</f>
        <v/>
      </c>
      <c r="Z12" s="9">
        <f>IF(NOT(($C12="是")),1,IF($M12&lt;=0,1,IF('参数区'!$B$13&gt;$M12,0,IF(OR('参数区'!$B$13&lt;=$N12,$M12&lt;=$N12),1,1-('参数区'!$B$13-$N12)/($M12-$N12)*(1-$O12)))))</f>
        <v/>
      </c>
      <c r="AA12" s="9">
        <f>IF(NOT(($C12="是")),1,IF((IF($D12="双持",$L12*1.25,$L12))&lt;=0,1,MIN(1,DEGREES(ATAN(('参数区'!$B$14/2)/'参数区'!$B$13))/(IF($D12="双持",$L12*1.25,$L12)))))</f>
        <v/>
      </c>
      <c r="AB12" s="9">
        <f>IF(($AF12)&lt;=0,(($E12)+($F12))/2,IF(($F12)&lt;=($E12),IF(($AF12)&lt;=0,($E12),IF(($E12)&gt;=($AF12),($E12),IF(($E12)&gt;=($AF12)/2,($E12)*(($E12)+($AF12))/(2*($AF12)),3*($E12)^2/(2*($AF12))))),(IF(MIN($F12,($AF12)/2)&gt;($E12),((MIN($F12,($AF12)/2))^3-(($E12))^3)/(2*($AF12)),0)+IF(MIN($F12,($AF12))&gt;MAX($E12,($AF12)/2),((MIN($F12,($AF12)))^3-(MAX($E12,($AF12)/2))^3)/(6*($AF12))+((MIN($F12,($AF12)))^2-(MAX($E12,($AF12)/2))^2)/4,0)+IF(($F12)&gt;MAX($E12,($AF12)),((($F12))^2-(MAX($E12,($AF12)))^2)/2,0))/(($F12)-($E12))))</f>
        <v/>
      </c>
      <c r="AC12" s="9">
        <f>IF(($AK12)&lt;=0,((0)+($AI12))/2,IF(($AI12)&lt;=(0),IF(($AK12)&lt;=0,(0),IF((0)&gt;=($AK12),(0),IF((0)&gt;=($AK12)/2,(0)*((0)+($AK12))/(2*($AK12)),3*(0)^2/(2*($AK12))))),(IF(MIN($AI12,($AK12)/2)&gt;(0),((MIN($AI12,($AK12)/2))^3-((0))^3)/(2*($AK12)),0)+IF(MIN($AI12,($AK12))&gt;MAX(0,($AK12)/2),((MIN($AI12,($AK12)))^3-(MAX(0,($AK12)/2))^3)/(6*($AK12))+((MIN($AI12,($AK12)))^2-(MAX(0,($AK12)/2))^2)/4,0)+IF(($AI12)&gt;MAX(0,($AK12)),((($AI12))^2-(MAX(0,($AK12)))^2)/2,0))/(($AI12)-(0))))</f>
        <v/>
      </c>
      <c r="AD12" s="9">
        <f>$AC12*$W12*$AA12*$Z12</f>
        <v/>
      </c>
      <c r="AE12" s="10">
        <f>IF(($H12="锐"),'参数区'!$B$4,'参数区'!$B$5)</f>
        <v/>
      </c>
      <c r="AF12" s="10">
        <f>$AE12*(1-$G12)</f>
        <v/>
      </c>
      <c r="AG12" s="10">
        <f>IF(($H12="锐"),'参数区'!$B$7,'参数区'!$B$8)</f>
        <v/>
      </c>
      <c r="AH12" s="10">
        <f>$AG12*(1-$G12)</f>
        <v/>
      </c>
      <c r="AI12" s="10">
        <f>IF(($AH12)&lt;=0,(($E12)+($F12))/2,IF(($F12)&lt;=($E12),IF(($AH12)&lt;=0,($E12),IF(($E12)&gt;=($AH12),($E12),IF(($E12)&gt;=($AH12)/2,($E12)*(($E12)+($AH12))/(2*($AH12)),3*($E12)^2/(2*($AH12))))),(IF(MIN($F12,($AH12)/2)&gt;($E12),((MIN($F12,($AH12)/2))^3-(($E12))^3)/(2*($AH12)),0)+IF(MIN($F12,($AH12))&gt;MAX($E12,($AH12)/2),((MIN($F12,($AH12)))^3-(MAX($E12,($AH12)/2))^3)/(6*($AH12))+((MIN($F12,($AH12)))^2-(MAX($E12,($AH12)/2))^2)/4,0)+IF(($F12)&gt;MAX($E12,($AH12)),((($F12))^2-(MAX($E12,($AH12)))^2)/2,0))/(($F12)-($E12))))</f>
        <v/>
      </c>
      <c r="AJ12" s="10">
        <f>IF(($H12="锐"),'参数区'!$B$9,'参数区'!$B$10)</f>
        <v/>
      </c>
      <c r="AK12" s="10">
        <f>$AJ12*(1-$G12)</f>
        <v/>
      </c>
    </row>
    <row r="13">
      <c r="A13" s="7" t="inlineStr">
        <is>
          <t>手枪</t>
        </is>
      </c>
      <c r="B13" s="8" t="inlineStr">
        <is>
          <t>远程锐器，穿透15%，可双持</t>
        </is>
      </c>
      <c r="C13" s="7" t="inlineStr">
        <is>
          <t>是</t>
        </is>
      </c>
      <c r="D13" s="7" t="inlineStr">
        <is>
          <t>单手</t>
        </is>
      </c>
      <c r="E13" s="7" t="n">
        <v>8</v>
      </c>
      <c r="F13" s="7" t="n">
        <v>14</v>
      </c>
      <c r="G13" s="7" t="n">
        <v>0.15</v>
      </c>
      <c r="H13" s="7" t="inlineStr">
        <is>
          <t>锐</t>
        </is>
      </c>
      <c r="I13" s="7" t="n">
        <v>2</v>
      </c>
      <c r="J13" s="7" t="n">
        <v>1</v>
      </c>
      <c r="K13" s="7" t="inlineStr"/>
      <c r="L13" s="7" t="n">
        <v>3</v>
      </c>
      <c r="M13" s="7" t="n">
        <v>200</v>
      </c>
      <c r="N13" s="7" t="n">
        <v>55</v>
      </c>
      <c r="O13" s="7" t="n">
        <v>0.5</v>
      </c>
      <c r="P13" s="7" t="n">
        <v>3</v>
      </c>
      <c r="Q13" s="7" t="n">
        <v>6</v>
      </c>
      <c r="R13" s="7" t="n">
        <v>1.2</v>
      </c>
      <c r="S13" s="7" t="n">
        <v>0.02</v>
      </c>
      <c r="T13" s="8" t="inlineStr">
        <is>
          <t>可双持</t>
        </is>
      </c>
      <c r="U13" s="9">
        <f>IF($I13&gt;0,$I13/IF($D13="双手",1.15,IF($D13="双持",1.4,1)),0)</f>
        <v/>
      </c>
      <c r="V13" s="9">
        <f>$U13+((IF($J13="",1,$J13))-1)*(IF($K13="",0,$K13))</f>
        <v/>
      </c>
      <c r="W13" s="9">
        <f>IF($V13&gt;0,(IF($J13="",1,$J13))/$V13,0)</f>
        <v/>
      </c>
      <c r="X13" s="9">
        <f>($E13+$F13)/2</f>
        <v/>
      </c>
      <c r="Y13" s="9">
        <f>$X13*$W13</f>
        <v/>
      </c>
      <c r="Z13" s="9">
        <f>IF(NOT(($C13="是")),1,IF($M13&lt;=0,1,IF('参数区'!$B$13&gt;$M13,0,IF(OR('参数区'!$B$13&lt;=$N13,$M13&lt;=$N13),1,1-('参数区'!$B$13-$N13)/($M13-$N13)*(1-$O13)))))</f>
        <v/>
      </c>
      <c r="AA13" s="9">
        <f>IF(NOT(($C13="是")),1,IF((IF($D13="双持",$L13*1.25,$L13))&lt;=0,1,MIN(1,DEGREES(ATAN(('参数区'!$B$14/2)/'参数区'!$B$13))/(IF($D13="双持",$L13*1.25,$L13)))))</f>
        <v/>
      </c>
      <c r="AB13" s="9">
        <f>IF(($AF13)&lt;=0,(($E13)+($F13))/2,IF(($F13)&lt;=($E13),IF(($AF13)&lt;=0,($E13),IF(($E13)&gt;=($AF13),($E13),IF(($E13)&gt;=($AF13)/2,($E13)*(($E13)+($AF13))/(2*($AF13)),3*($E13)^2/(2*($AF13))))),(IF(MIN($F13,($AF13)/2)&gt;($E13),((MIN($F13,($AF13)/2))^3-(($E13))^3)/(2*($AF13)),0)+IF(MIN($F13,($AF13))&gt;MAX($E13,($AF13)/2),((MIN($F13,($AF13)))^3-(MAX($E13,($AF13)/2))^3)/(6*($AF13))+((MIN($F13,($AF13)))^2-(MAX($E13,($AF13)/2))^2)/4,0)+IF(($F13)&gt;MAX($E13,($AF13)),((($F13))^2-(MAX($E13,($AF13)))^2)/2,0))/(($F13)-($E13))))</f>
        <v/>
      </c>
      <c r="AC13" s="9">
        <f>IF(($AK13)&lt;=0,((0)+($AI13))/2,IF(($AI13)&lt;=(0),IF(($AK13)&lt;=0,(0),IF((0)&gt;=($AK13),(0),IF((0)&gt;=($AK13)/2,(0)*((0)+($AK13))/(2*($AK13)),3*(0)^2/(2*($AK13))))),(IF(MIN($AI13,($AK13)/2)&gt;(0),((MIN($AI13,($AK13)/2))^3-((0))^3)/(2*($AK13)),0)+IF(MIN($AI13,($AK13))&gt;MAX(0,($AK13)/2),((MIN($AI13,($AK13)))^3-(MAX(0,($AK13)/2))^3)/(6*($AK13))+((MIN($AI13,($AK13)))^2-(MAX(0,($AK13)/2))^2)/4,0)+IF(($AI13)&gt;MAX(0,($AK13)),((($AI13))^2-(MAX(0,($AK13)))^2)/2,0))/(($AI13)-(0))))</f>
        <v/>
      </c>
      <c r="AD13" s="9">
        <f>$AC13*$W13*$AA13*$Z13</f>
        <v/>
      </c>
      <c r="AE13" s="10">
        <f>IF(($H13="锐"),'参数区'!$B$4,'参数区'!$B$5)</f>
        <v/>
      </c>
      <c r="AF13" s="10">
        <f>$AE13*(1-$G13)</f>
        <v/>
      </c>
      <c r="AG13" s="10">
        <f>IF(($H13="锐"),'参数区'!$B$7,'参数区'!$B$8)</f>
        <v/>
      </c>
      <c r="AH13" s="10">
        <f>$AG13*(1-$G13)</f>
        <v/>
      </c>
      <c r="AI13" s="10">
        <f>IF(($AH13)&lt;=0,(($E13)+($F13))/2,IF(($F13)&lt;=($E13),IF(($AH13)&lt;=0,($E13),IF(($E13)&gt;=($AH13),($E13),IF(($E13)&gt;=($AH13)/2,($E13)*(($E13)+($AH13))/(2*($AH13)),3*($E13)^2/(2*($AH13))))),(IF(MIN($F13,($AH13)/2)&gt;($E13),((MIN($F13,($AH13)/2))^3-(($E13))^3)/(2*($AH13)),0)+IF(MIN($F13,($AH13))&gt;MAX($E13,($AH13)/2),((MIN($F13,($AH13)))^3-(MAX($E13,($AH13)/2))^3)/(6*($AH13))+((MIN($F13,($AH13)))^2-(MAX($E13,($AH13)/2))^2)/4,0)+IF(($F13)&gt;MAX($E13,($AH13)),((($F13))^2-(MAX($E13,($AH13)))^2)/2,0))/(($F13)-($E13))))</f>
        <v/>
      </c>
      <c r="AJ13" s="10">
        <f>IF(($H13="锐"),'参数区'!$B$9,'参数区'!$B$10)</f>
        <v/>
      </c>
      <c r="AK13" s="10">
        <f>$AJ13*(1-$G13)</f>
        <v/>
      </c>
    </row>
    <row r="14">
      <c r="A14" s="7" t="inlineStr">
        <is>
          <t>冲锋枪</t>
        </is>
      </c>
      <c r="B14" s="8" t="inlineStr">
        <is>
          <t>远程锐器，三连发，双手抵肩</t>
        </is>
      </c>
      <c r="C14" s="7" t="inlineStr">
        <is>
          <t>是</t>
        </is>
      </c>
      <c r="D14" s="7" t="inlineStr">
        <is>
          <t>双手</t>
        </is>
      </c>
      <c r="E14" s="7" t="n">
        <v>10</v>
      </c>
      <c r="F14" s="7" t="n">
        <v>18</v>
      </c>
      <c r="G14" s="7" t="n">
        <v>0.18</v>
      </c>
      <c r="H14" s="7" t="inlineStr">
        <is>
          <t>锐</t>
        </is>
      </c>
      <c r="I14" s="7" t="n">
        <v>1.8</v>
      </c>
      <c r="J14" s="7" t="n">
        <v>3</v>
      </c>
      <c r="K14" s="7" t="n">
        <v>0.06</v>
      </c>
      <c r="L14" s="7" t="n">
        <v>6</v>
      </c>
      <c r="M14" s="7" t="n">
        <v>280</v>
      </c>
      <c r="N14" s="7" t="n">
        <v>70</v>
      </c>
      <c r="O14" s="7" t="n">
        <v>0.45</v>
      </c>
      <c r="P14" s="7" t="n">
        <v>4</v>
      </c>
      <c r="Q14" s="7" t="n">
        <v>7</v>
      </c>
      <c r="R14" s="7" t="n">
        <v>1.3</v>
      </c>
      <c r="S14" s="7" t="n">
        <v>0.02</v>
      </c>
      <c r="T14" s="8" t="inlineStr">
        <is>
          <t>可双持;三连发</t>
        </is>
      </c>
      <c r="U14" s="9">
        <f>IF($I14&gt;0,$I14/IF($D14="双手",1.15,IF($D14="双持",1.4,1)),0)</f>
        <v/>
      </c>
      <c r="V14" s="9">
        <f>$U14+((IF($J14="",1,$J14))-1)*(IF($K14="",0,$K14))</f>
        <v/>
      </c>
      <c r="W14" s="9">
        <f>IF($V14&gt;0,(IF($J14="",1,$J14))/$V14,0)</f>
        <v/>
      </c>
      <c r="X14" s="9">
        <f>($E14+$F14)/2</f>
        <v/>
      </c>
      <c r="Y14" s="9">
        <f>$X14*$W14</f>
        <v/>
      </c>
      <c r="Z14" s="9">
        <f>IF(NOT(($C14="是")),1,IF($M14&lt;=0,1,IF('参数区'!$B$13&gt;$M14,0,IF(OR('参数区'!$B$13&lt;=$N14,$M14&lt;=$N14),1,1-('参数区'!$B$13-$N14)/($M14-$N14)*(1-$O14)))))</f>
        <v/>
      </c>
      <c r="AA14" s="9">
        <f>IF(NOT(($C14="是")),1,IF((IF($D14="双持",$L14*1.25,$L14))&lt;=0,1,MIN(1,DEGREES(ATAN(('参数区'!$B$14/2)/'参数区'!$B$13))/(IF($D14="双持",$L14*1.25,$L14)))))</f>
        <v/>
      </c>
      <c r="AB14" s="9">
        <f>IF(($AF14)&lt;=0,(($E14)+($F14))/2,IF(($F14)&lt;=($E14),IF(($AF14)&lt;=0,($E14),IF(($E14)&gt;=($AF14),($E14),IF(($E14)&gt;=($AF14)/2,($E14)*(($E14)+($AF14))/(2*($AF14)),3*($E14)^2/(2*($AF14))))),(IF(MIN($F14,($AF14)/2)&gt;($E14),((MIN($F14,($AF14)/2))^3-(($E14))^3)/(2*($AF14)),0)+IF(MIN($F14,($AF14))&gt;MAX($E14,($AF14)/2),((MIN($F14,($AF14)))^3-(MAX($E14,($AF14)/2))^3)/(6*($AF14))+((MIN($F14,($AF14)))^2-(MAX($E14,($AF14)/2))^2)/4,0)+IF(($F14)&gt;MAX($E14,($AF14)),((($F14))^2-(MAX($E14,($AF14)))^2)/2,0))/(($F14)-($E14))))</f>
        <v/>
      </c>
      <c r="AC14" s="9">
        <f>IF(($AK14)&lt;=0,((0)+($AI14))/2,IF(($AI14)&lt;=(0),IF(($AK14)&lt;=0,(0),IF((0)&gt;=($AK14),(0),IF((0)&gt;=($AK14)/2,(0)*((0)+($AK14))/(2*($AK14)),3*(0)^2/(2*($AK14))))),(IF(MIN($AI14,($AK14)/2)&gt;(0),((MIN($AI14,($AK14)/2))^3-((0))^3)/(2*($AK14)),0)+IF(MIN($AI14,($AK14))&gt;MAX(0,($AK14)/2),((MIN($AI14,($AK14)))^3-(MAX(0,($AK14)/2))^3)/(6*($AK14))+((MIN($AI14,($AK14)))^2-(MAX(0,($AK14)/2))^2)/4,0)+IF(($AI14)&gt;MAX(0,($AK14)),((($AI14))^2-(MAX(0,($AK14)))^2)/2,0))/(($AI14)-(0))))</f>
        <v/>
      </c>
      <c r="AD14" s="9">
        <f>$AC14*$W14*$AA14*$Z14</f>
        <v/>
      </c>
      <c r="AE14" s="10">
        <f>IF(($H14="锐"),'参数区'!$B$4,'参数区'!$B$5)</f>
        <v/>
      </c>
      <c r="AF14" s="10">
        <f>$AE14*(1-$G14)</f>
        <v/>
      </c>
      <c r="AG14" s="10">
        <f>IF(($H14="锐"),'参数区'!$B$7,'参数区'!$B$8)</f>
        <v/>
      </c>
      <c r="AH14" s="10">
        <f>$AG14*(1-$G14)</f>
        <v/>
      </c>
      <c r="AI14" s="10">
        <f>IF(($AH14)&lt;=0,(($E14)+($F14))/2,IF(($F14)&lt;=($E14),IF(($AH14)&lt;=0,($E14),IF(($E14)&gt;=($AH14),($E14),IF(($E14)&gt;=($AH14)/2,($E14)*(($E14)+($AH14))/(2*($AH14)),3*($E14)^2/(2*($AH14))))),(IF(MIN($F14,($AH14)/2)&gt;($E14),((MIN($F14,($AH14)/2))^3-(($E14))^3)/(2*($AH14)),0)+IF(MIN($F14,($AH14))&gt;MAX($E14,($AH14)/2),((MIN($F14,($AH14)))^3-(MAX($E14,($AH14)/2))^3)/(6*($AH14))+((MIN($F14,($AH14)))^2-(MAX($E14,($AH14)/2))^2)/4,0)+IF(($F14)&gt;MAX($E14,($AH14)),((($F14))^2-(MAX($E14,($AH14)))^2)/2,0))/(($F14)-($E14))))</f>
        <v/>
      </c>
      <c r="AJ14" s="10">
        <f>IF(($H14="锐"),'参数区'!$B$9,'参数区'!$B$10)</f>
        <v/>
      </c>
      <c r="AK14" s="10">
        <f>$AJ14*(1-$G14)</f>
        <v/>
      </c>
    </row>
    <row r="15">
      <c r="A15" s="7" t="inlineStr">
        <is>
          <t>步枪</t>
        </is>
      </c>
      <c r="B15" s="8" t="inlineStr">
        <is>
          <t>军用远程锐器，穿透21%，双手抵肩</t>
        </is>
      </c>
      <c r="C15" s="7" t="inlineStr">
        <is>
          <t>是</t>
        </is>
      </c>
      <c r="D15" s="7" t="inlineStr">
        <is>
          <t>双手</t>
        </is>
      </c>
      <c r="E15" s="7" t="n">
        <v>20</v>
      </c>
      <c r="F15" s="7" t="n">
        <v>35</v>
      </c>
      <c r="G15" s="7" t="n">
        <v>0.21</v>
      </c>
      <c r="H15" s="7" t="inlineStr">
        <is>
          <t>锐</t>
        </is>
      </c>
      <c r="I15" s="7" t="n">
        <v>2.8</v>
      </c>
      <c r="J15" s="7" t="n">
        <v>1</v>
      </c>
      <c r="K15" s="7" t="inlineStr"/>
      <c r="L15" s="7" t="n">
        <v>2</v>
      </c>
      <c r="M15" s="7" t="n">
        <v>550</v>
      </c>
      <c r="N15" s="7" t="n">
        <v>200</v>
      </c>
      <c r="O15" s="7" t="n">
        <v>0.6</v>
      </c>
      <c r="P15" s="7" t="n">
        <v>6</v>
      </c>
      <c r="Q15" s="7" t="n">
        <v>10</v>
      </c>
      <c r="R15" s="7" t="n">
        <v>1.5</v>
      </c>
      <c r="S15" s="7" t="n">
        <v>0.03</v>
      </c>
      <c r="T15" s="8" t="inlineStr"/>
      <c r="U15" s="9">
        <f>IF($I15&gt;0,$I15/IF($D15="双手",1.15,IF($D15="双持",1.4,1)),0)</f>
        <v/>
      </c>
      <c r="V15" s="9">
        <f>$U15+((IF($J15="",1,$J15))-1)*(IF($K15="",0,$K15))</f>
        <v/>
      </c>
      <c r="W15" s="9">
        <f>IF($V15&gt;0,(IF($J15="",1,$J15))/$V15,0)</f>
        <v/>
      </c>
      <c r="X15" s="9">
        <f>($E15+$F15)/2</f>
        <v/>
      </c>
      <c r="Y15" s="9">
        <f>$X15*$W15</f>
        <v/>
      </c>
      <c r="Z15" s="9">
        <f>IF(NOT(($C15="是")),1,IF($M15&lt;=0,1,IF('参数区'!$B$13&gt;$M15,0,IF(OR('参数区'!$B$13&lt;=$N15,$M15&lt;=$N15),1,1-('参数区'!$B$13-$N15)/($M15-$N15)*(1-$O15)))))</f>
        <v/>
      </c>
      <c r="AA15" s="9">
        <f>IF(NOT(($C15="是")),1,IF((IF($D15="双持",$L15*1.25,$L15))&lt;=0,1,MIN(1,DEGREES(ATAN(('参数区'!$B$14/2)/'参数区'!$B$13))/(IF($D15="双持",$L15*1.25,$L15)))))</f>
        <v/>
      </c>
      <c r="AB15" s="9">
        <f>IF(($AF15)&lt;=0,(($E15)+($F15))/2,IF(($F15)&lt;=($E15),IF(($AF15)&lt;=0,($E15),IF(($E15)&gt;=($AF15),($E15),IF(($E15)&gt;=($AF15)/2,($E15)*(($E15)+($AF15))/(2*($AF15)),3*($E15)^2/(2*($AF15))))),(IF(MIN($F15,($AF15)/2)&gt;($E15),((MIN($F15,($AF15)/2))^3-(($E15))^3)/(2*($AF15)),0)+IF(MIN($F15,($AF15))&gt;MAX($E15,($AF15)/2),((MIN($F15,($AF15)))^3-(MAX($E15,($AF15)/2))^3)/(6*($AF15))+((MIN($F15,($AF15)))^2-(MAX($E15,($AF15)/2))^2)/4,0)+IF(($F15)&gt;MAX($E15,($AF15)),((($F15))^2-(MAX($E15,($AF15)))^2)/2,0))/(($F15)-($E15))))</f>
        <v/>
      </c>
      <c r="AC15" s="9">
        <f>IF(($AK15)&lt;=0,((0)+($AI15))/2,IF(($AI15)&lt;=(0),IF(($AK15)&lt;=0,(0),IF((0)&gt;=($AK15),(0),IF((0)&gt;=($AK15)/2,(0)*((0)+($AK15))/(2*($AK15)),3*(0)^2/(2*($AK15))))),(IF(MIN($AI15,($AK15)/2)&gt;(0),((MIN($AI15,($AK15)/2))^3-((0))^3)/(2*($AK15)),0)+IF(MIN($AI15,($AK15))&gt;MAX(0,($AK15)/2),((MIN($AI15,($AK15)))^3-(MAX(0,($AK15)/2))^3)/(6*($AK15))+((MIN($AI15,($AK15)))^2-(MAX(0,($AK15)/2))^2)/4,0)+IF(($AI15)&gt;MAX(0,($AK15)),((($AI15))^2-(MAX(0,($AK15)))^2)/2,0))/(($AI15)-(0))))</f>
        <v/>
      </c>
      <c r="AD15" s="9">
        <f>$AC15*$W15*$AA15*$Z15</f>
        <v/>
      </c>
      <c r="AE15" s="10">
        <f>IF(($H15="锐"),'参数区'!$B$4,'参数区'!$B$5)</f>
        <v/>
      </c>
      <c r="AF15" s="10">
        <f>$AE15*(1-$G15)</f>
        <v/>
      </c>
      <c r="AG15" s="10">
        <f>IF(($H15="锐"),'参数区'!$B$7,'参数区'!$B$8)</f>
        <v/>
      </c>
      <c r="AH15" s="10">
        <f>$AG15*(1-$G15)</f>
        <v/>
      </c>
      <c r="AI15" s="10">
        <f>IF(($AH15)&lt;=0,(($E15)+($F15))/2,IF(($F15)&lt;=($E15),IF(($AH15)&lt;=0,($E15),IF(($E15)&gt;=($AH15),($E15),IF(($E15)&gt;=($AH15)/2,($E15)*(($E15)+($AH15))/(2*($AH15)),3*($E15)^2/(2*($AH15))))),(IF(MIN($F15,($AH15)/2)&gt;($E15),((MIN($F15,($AH15)/2))^3-(($E15))^3)/(2*($AH15)),0)+IF(MIN($F15,($AH15))&gt;MAX($E15,($AH15)/2),((MIN($F15,($AH15)))^3-(MAX($E15,($AH15)/2))^3)/(6*($AH15))+((MIN($F15,($AH15)))^2-(MAX($E15,($AH15)/2))^2)/4,0)+IF(($F15)&gt;MAX($E15,($AH15)),((($F15))^2-(MAX($E15,($AH15)))^2)/2,0))/(($F15)-($E15))))</f>
        <v/>
      </c>
      <c r="AJ15" s="10">
        <f>IF(($H15="锐"),'参数区'!$B$9,'参数区'!$B$10)</f>
        <v/>
      </c>
      <c r="AK15" s="10">
        <f>$AJ15*(1-$G15)</f>
        <v/>
      </c>
    </row>
    <row r="16">
      <c r="A16" s="7" t="inlineStr">
        <is>
          <t>栓动猎枪</t>
        </is>
      </c>
      <c r="B16" s="8" t="inlineStr">
        <is>
          <t>民用远程锐器，栓动慢冷却，数值介于步枪与土制枪</t>
        </is>
      </c>
      <c r="C16" s="7" t="inlineStr">
        <is>
          <t>是</t>
        </is>
      </c>
      <c r="D16" s="7" t="inlineStr">
        <is>
          <t>双手</t>
        </is>
      </c>
      <c r="E16" s="7" t="n">
        <v>16</v>
      </c>
      <c r="F16" s="7" t="n">
        <v>28</v>
      </c>
      <c r="G16" s="7" t="n">
        <v>0.16</v>
      </c>
      <c r="H16" s="7" t="inlineStr">
        <is>
          <t>锐</t>
        </is>
      </c>
      <c r="I16" s="7" t="n">
        <v>4.5</v>
      </c>
      <c r="J16" s="7" t="n">
        <v>1</v>
      </c>
      <c r="K16" s="7" t="inlineStr"/>
      <c r="L16" s="7" t="n">
        <v>3</v>
      </c>
      <c r="M16" s="7" t="n">
        <v>420</v>
      </c>
      <c r="N16" s="7" t="n">
        <v>160</v>
      </c>
      <c r="O16" s="7" t="n">
        <v>0.55</v>
      </c>
      <c r="P16" s="7" t="n">
        <v>6</v>
      </c>
      <c r="Q16" s="7" t="n">
        <v>10</v>
      </c>
      <c r="R16" s="7" t="n">
        <v>1.6</v>
      </c>
      <c r="S16" s="7" t="n">
        <v>0.03</v>
      </c>
      <c r="T16" s="8" t="inlineStr">
        <is>
          <t>新增</t>
        </is>
      </c>
      <c r="U16" s="9">
        <f>IF($I16&gt;0,$I16/IF($D16="双手",1.15,IF($D16="双持",1.4,1)),0)</f>
        <v/>
      </c>
      <c r="V16" s="9">
        <f>$U16+((IF($J16="",1,$J16))-1)*(IF($K16="",0,$K16))</f>
        <v/>
      </c>
      <c r="W16" s="9">
        <f>IF($V16&gt;0,(IF($J16="",1,$J16))/$V16,0)</f>
        <v/>
      </c>
      <c r="X16" s="9">
        <f>($E16+$F16)/2</f>
        <v/>
      </c>
      <c r="Y16" s="9">
        <f>$X16*$W16</f>
        <v/>
      </c>
      <c r="Z16" s="9">
        <f>IF(NOT(($C16="是")),1,IF($M16&lt;=0,1,IF('参数区'!$B$13&gt;$M16,0,IF(OR('参数区'!$B$13&lt;=$N16,$M16&lt;=$N16),1,1-('参数区'!$B$13-$N16)/($M16-$N16)*(1-$O16)))))</f>
        <v/>
      </c>
      <c r="AA16" s="9">
        <f>IF(NOT(($C16="是")),1,IF((IF($D16="双持",$L16*1.25,$L16))&lt;=0,1,MIN(1,DEGREES(ATAN(('参数区'!$B$14/2)/'参数区'!$B$13))/(IF($D16="双持",$L16*1.25,$L16)))))</f>
        <v/>
      </c>
      <c r="AB16" s="9">
        <f>IF(($AF16)&lt;=0,(($E16)+($F16))/2,IF(($F16)&lt;=($E16),IF(($AF16)&lt;=0,($E16),IF(($E16)&gt;=($AF16),($E16),IF(($E16)&gt;=($AF16)/2,($E16)*(($E16)+($AF16))/(2*($AF16)),3*($E16)^2/(2*($AF16))))),(IF(MIN($F16,($AF16)/2)&gt;($E16),((MIN($F16,($AF16)/2))^3-(($E16))^3)/(2*($AF16)),0)+IF(MIN($F16,($AF16))&gt;MAX($E16,($AF16)/2),((MIN($F16,($AF16)))^3-(MAX($E16,($AF16)/2))^3)/(6*($AF16))+((MIN($F16,($AF16)))^2-(MAX($E16,($AF16)/2))^2)/4,0)+IF(($F16)&gt;MAX($E16,($AF16)),((($F16))^2-(MAX($E16,($AF16)))^2)/2,0))/(($F16)-($E16))))</f>
        <v/>
      </c>
      <c r="AC16" s="9">
        <f>IF(($AK16)&lt;=0,((0)+($AI16))/2,IF(($AI16)&lt;=(0),IF(($AK16)&lt;=0,(0),IF((0)&gt;=($AK16),(0),IF((0)&gt;=($AK16)/2,(0)*((0)+($AK16))/(2*($AK16)),3*(0)^2/(2*($AK16))))),(IF(MIN($AI16,($AK16)/2)&gt;(0),((MIN($AI16,($AK16)/2))^3-((0))^3)/(2*($AK16)),0)+IF(MIN($AI16,($AK16))&gt;MAX(0,($AK16)/2),((MIN($AI16,($AK16)))^3-(MAX(0,($AK16)/2))^3)/(6*($AK16))+((MIN($AI16,($AK16)))^2-(MAX(0,($AK16)/2))^2)/4,0)+IF(($AI16)&gt;MAX(0,($AK16)),((($AI16))^2-(MAX(0,($AK16)))^2)/2,0))/(($AI16)-(0))))</f>
        <v/>
      </c>
      <c r="AD16" s="9">
        <f>$AC16*$W16*$AA16*$Z16</f>
        <v/>
      </c>
      <c r="AE16" s="10">
        <f>IF(($H16="锐"),'参数区'!$B$4,'参数区'!$B$5)</f>
        <v/>
      </c>
      <c r="AF16" s="10">
        <f>$AE16*(1-$G16)</f>
        <v/>
      </c>
      <c r="AG16" s="10">
        <f>IF(($H16="锐"),'参数区'!$B$7,'参数区'!$B$8)</f>
        <v/>
      </c>
      <c r="AH16" s="10">
        <f>$AG16*(1-$G16)</f>
        <v/>
      </c>
      <c r="AI16" s="10">
        <f>IF(($AH16)&lt;=0,(($E16)+($F16))/2,IF(($F16)&lt;=($E16),IF(($AH16)&lt;=0,($E16),IF(($E16)&gt;=($AH16),($E16),IF(($E16)&gt;=($AH16)/2,($E16)*(($E16)+($AH16))/(2*($AH16)),3*($E16)^2/(2*($AH16))))),(IF(MIN($F16,($AH16)/2)&gt;($E16),((MIN($F16,($AH16)/2))^3-(($E16))^3)/(2*($AH16)),0)+IF(MIN($F16,($AH16))&gt;MAX($E16,($AH16)/2),((MIN($F16,($AH16)))^3-(MAX($E16,($AH16)/2))^3)/(6*($AH16))+((MIN($F16,($AH16)))^2-(MAX($E16,($AH16)/2))^2)/4,0)+IF(($F16)&gt;MAX($E16,($AH16)),((($F16))^2-(MAX($E16,($AH16)))^2)/2,0))/(($F16)-($E16))))</f>
        <v/>
      </c>
      <c r="AJ16" s="10">
        <f>IF(($H16="锐"),'参数区'!$B$9,'参数区'!$B$10)</f>
        <v/>
      </c>
      <c r="AK16" s="10">
        <f>$AJ16*(1-$G16)</f>
        <v/>
      </c>
    </row>
    <row r="17">
      <c r="A17" s="7" t="inlineStr">
        <is>
          <t>狙击枪</t>
        </is>
      </c>
      <c r="B17" s="8" t="inlineStr">
        <is>
          <t>远程锐器，穿透70%，碾压多层甲</t>
        </is>
      </c>
      <c r="C17" s="7" t="inlineStr">
        <is>
          <t>是</t>
        </is>
      </c>
      <c r="D17" s="7" t="inlineStr">
        <is>
          <t>双手</t>
        </is>
      </c>
      <c r="E17" s="7" t="n">
        <v>40</v>
      </c>
      <c r="F17" s="7" t="n">
        <v>70</v>
      </c>
      <c r="G17" s="7" t="n">
        <v>0.7</v>
      </c>
      <c r="H17" s="7" t="inlineStr">
        <is>
          <t>锐</t>
        </is>
      </c>
      <c r="I17" s="7" t="n">
        <v>5</v>
      </c>
      <c r="J17" s="7" t="n">
        <v>1</v>
      </c>
      <c r="K17" s="7" t="inlineStr"/>
      <c r="L17" s="7" t="n">
        <v>0.5</v>
      </c>
      <c r="M17" s="7" t="n">
        <v>900</v>
      </c>
      <c r="N17" s="7" t="n">
        <v>450</v>
      </c>
      <c r="O17" s="7" t="n">
        <v>0.8</v>
      </c>
      <c r="P17" s="7" t="n">
        <v>6</v>
      </c>
      <c r="Q17" s="7" t="n">
        <v>11</v>
      </c>
      <c r="R17" s="7" t="n">
        <v>1.6</v>
      </c>
      <c r="S17" s="7" t="n">
        <v>0.03</v>
      </c>
      <c r="T17" s="8" t="inlineStr">
        <is>
          <t>弹药稀缺约束</t>
        </is>
      </c>
      <c r="U17" s="9">
        <f>IF($I17&gt;0,$I17/IF($D17="双手",1.15,IF($D17="双持",1.4,1)),0)</f>
        <v/>
      </c>
      <c r="V17" s="9">
        <f>$U17+((IF($J17="",1,$J17))-1)*(IF($K17="",0,$K17))</f>
        <v/>
      </c>
      <c r="W17" s="9">
        <f>IF($V17&gt;0,(IF($J17="",1,$J17))/$V17,0)</f>
        <v/>
      </c>
      <c r="X17" s="9">
        <f>($E17+$F17)/2</f>
        <v/>
      </c>
      <c r="Y17" s="9">
        <f>$X17*$W17</f>
        <v/>
      </c>
      <c r="Z17" s="9">
        <f>IF(NOT(($C17="是")),1,IF($M17&lt;=0,1,IF('参数区'!$B$13&gt;$M17,0,IF(OR('参数区'!$B$13&lt;=$N17,$M17&lt;=$N17),1,1-('参数区'!$B$13-$N17)/($M17-$N17)*(1-$O17)))))</f>
        <v/>
      </c>
      <c r="AA17" s="9">
        <f>IF(NOT(($C17="是")),1,IF((IF($D17="双持",$L17*1.25,$L17))&lt;=0,1,MIN(1,DEGREES(ATAN(('参数区'!$B$14/2)/'参数区'!$B$13))/(IF($D17="双持",$L17*1.25,$L17)))))</f>
        <v/>
      </c>
      <c r="AB17" s="9">
        <f>IF(($AF17)&lt;=0,(($E17)+($F17))/2,IF(($F17)&lt;=($E17),IF(($AF17)&lt;=0,($E17),IF(($E17)&gt;=($AF17),($E17),IF(($E17)&gt;=($AF17)/2,($E17)*(($E17)+($AF17))/(2*($AF17)),3*($E17)^2/(2*($AF17))))),(IF(MIN($F17,($AF17)/2)&gt;($E17),((MIN($F17,($AF17)/2))^3-(($E17))^3)/(2*($AF17)),0)+IF(MIN($F17,($AF17))&gt;MAX($E17,($AF17)/2),((MIN($F17,($AF17)))^3-(MAX($E17,($AF17)/2))^3)/(6*($AF17))+((MIN($F17,($AF17)))^2-(MAX($E17,($AF17)/2))^2)/4,0)+IF(($F17)&gt;MAX($E17,($AF17)),((($F17))^2-(MAX($E17,($AF17)))^2)/2,0))/(($F17)-($E17))))</f>
        <v/>
      </c>
      <c r="AC17" s="9">
        <f>IF(($AK17)&lt;=0,((0)+($AI17))/2,IF(($AI17)&lt;=(0),IF(($AK17)&lt;=0,(0),IF((0)&gt;=($AK17),(0),IF((0)&gt;=($AK17)/2,(0)*((0)+($AK17))/(2*($AK17)),3*(0)^2/(2*($AK17))))),(IF(MIN($AI17,($AK17)/2)&gt;(0),((MIN($AI17,($AK17)/2))^3-((0))^3)/(2*($AK17)),0)+IF(MIN($AI17,($AK17))&gt;MAX(0,($AK17)/2),((MIN($AI17,($AK17)))^3-(MAX(0,($AK17)/2))^3)/(6*($AK17))+((MIN($AI17,($AK17)))^2-(MAX(0,($AK17)/2))^2)/4,0)+IF(($AI17)&gt;MAX(0,($AK17)),((($AI17))^2-(MAX(0,($AK17)))^2)/2,0))/(($AI17)-(0))))</f>
        <v/>
      </c>
      <c r="AD17" s="9">
        <f>$AC17*$W17*$AA17*$Z17</f>
        <v/>
      </c>
      <c r="AE17" s="10">
        <f>IF(($H17="锐"),'参数区'!$B$4,'参数区'!$B$5)</f>
        <v/>
      </c>
      <c r="AF17" s="10">
        <f>$AE17*(1-$G17)</f>
        <v/>
      </c>
      <c r="AG17" s="10">
        <f>IF(($H17="锐"),'参数区'!$B$7,'参数区'!$B$8)</f>
        <v/>
      </c>
      <c r="AH17" s="10">
        <f>$AG17*(1-$G17)</f>
        <v/>
      </c>
      <c r="AI17" s="10">
        <f>IF(($AH17)&lt;=0,(($E17)+($F17))/2,IF(($F17)&lt;=($E17),IF(($AH17)&lt;=0,($E17),IF(($E17)&gt;=($AH17),($E17),IF(($E17)&gt;=($AH17)/2,($E17)*(($E17)+($AH17))/(2*($AH17)),3*($E17)^2/(2*($AH17))))),(IF(MIN($F17,($AH17)/2)&gt;($E17),((MIN($F17,($AH17)/2))^3-(($E17))^3)/(2*($AH17)),0)+IF(MIN($F17,($AH17))&gt;MAX($E17,($AH17)/2),((MIN($F17,($AH17)))^3-(MAX($E17,($AH17)/2))^3)/(6*($AH17))+((MIN($F17,($AH17)))^2-(MAX($E17,($AH17)/2))^2)/4,0)+IF(($F17)&gt;MAX($E17,($AH17)),((($F17))^2-(MAX($E17,($AH17)))^2)/2,0))/(($F17)-($E17))))</f>
        <v/>
      </c>
      <c r="AJ17" s="10">
        <f>IF(($H17="锐"),'参数区'!$B$9,'参数区'!$B$10)</f>
        <v/>
      </c>
      <c r="AK17" s="10">
        <f>$AJ17*(1-$G17)</f>
        <v/>
      </c>
    </row>
    <row r="18">
      <c r="A18" s="7" t="inlineStr">
        <is>
          <t>爪击(丧尸)</t>
        </is>
      </c>
      <c r="B18" s="8" t="inlineStr">
        <is>
          <t>天生近战锐器，穿透5%</t>
        </is>
      </c>
      <c r="C18" s="7" t="inlineStr">
        <is>
          <t>否</t>
        </is>
      </c>
      <c r="D18" s="7" t="inlineStr">
        <is>
          <t>单手</t>
        </is>
      </c>
      <c r="E18" s="7" t="n">
        <v>3</v>
      </c>
      <c r="F18" s="7" t="n">
        <v>9</v>
      </c>
      <c r="G18" s="7" t="n">
        <v>0.05</v>
      </c>
      <c r="H18" s="7" t="inlineStr">
        <is>
          <t>锐</t>
        </is>
      </c>
      <c r="I18" s="7" t="n">
        <v>2.3</v>
      </c>
      <c r="J18" s="7" t="n">
        <v>1</v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8" t="inlineStr">
        <is>
          <t>天生武器</t>
        </is>
      </c>
      <c r="U18" s="9">
        <f>IF($I18&gt;0,$I18/IF($D18="双手",1.15,IF($D18="双持",1.4,1)),0)</f>
        <v/>
      </c>
      <c r="V18" s="9">
        <f>$U18+((IF($J18="",1,$J18))-1)*(IF($K18="",0,$K18))</f>
        <v/>
      </c>
      <c r="W18" s="9">
        <f>IF($V18&gt;0,(IF($J18="",1,$J18))/$V18,0)</f>
        <v/>
      </c>
      <c r="X18" s="9">
        <f>($E18+$F18)/2</f>
        <v/>
      </c>
      <c r="Y18" s="9">
        <f>$X18*$W18</f>
        <v/>
      </c>
      <c r="Z18" s="9">
        <f>IF(NOT(($C18="是")),1,IF($M18&lt;=0,1,IF('参数区'!$B$13&gt;$M18,0,IF(OR('参数区'!$B$13&lt;=$N18,$M18&lt;=$N18),1,1-('参数区'!$B$13-$N18)/($M18-$N18)*(1-$O18)))))</f>
        <v/>
      </c>
      <c r="AA18" s="9">
        <f>IF(NOT(($C18="是")),1,IF((IF($D18="双持",$L18*1.25,$L18))&lt;=0,1,MIN(1,DEGREES(ATAN(('参数区'!$B$14/2)/'参数区'!$B$13))/(IF($D18="双持",$L18*1.25,$L18)))))</f>
        <v/>
      </c>
      <c r="AB18" s="9">
        <f>IF(($AF18)&lt;=0,(($E18)+($F18))/2,IF(($F18)&lt;=($E18),IF(($AF18)&lt;=0,($E18),IF(($E18)&gt;=($AF18),($E18),IF(($E18)&gt;=($AF18)/2,($E18)*(($E18)+($AF18))/(2*($AF18)),3*($E18)^2/(2*($AF18))))),(IF(MIN($F18,($AF18)/2)&gt;($E18),((MIN($F18,($AF18)/2))^3-(($E18))^3)/(2*($AF18)),0)+IF(MIN($F18,($AF18))&gt;MAX($E18,($AF18)/2),((MIN($F18,($AF18)))^3-(MAX($E18,($AF18)/2))^3)/(6*($AF18))+((MIN($F18,($AF18)))^2-(MAX($E18,($AF18)/2))^2)/4,0)+IF(($F18)&gt;MAX($E18,($AF18)),((($F18))^2-(MAX($E18,($AF18)))^2)/2,0))/(($F18)-($E18))))</f>
        <v/>
      </c>
      <c r="AC18" s="9">
        <f>IF(($AK18)&lt;=0,((0)+($AI18))/2,IF(($AI18)&lt;=(0),IF(($AK18)&lt;=0,(0),IF((0)&gt;=($AK18),(0),IF((0)&gt;=($AK18)/2,(0)*((0)+($AK18))/(2*($AK18)),3*(0)^2/(2*($AK18))))),(IF(MIN($AI18,($AK18)/2)&gt;(0),((MIN($AI18,($AK18)/2))^3-((0))^3)/(2*($AK18)),0)+IF(MIN($AI18,($AK18))&gt;MAX(0,($AK18)/2),((MIN($AI18,($AK18)))^3-(MAX(0,($AK18)/2))^3)/(6*($AK18))+((MIN($AI18,($AK18)))^2-(MAX(0,($AK18)/2))^2)/4,0)+IF(($AI18)&gt;MAX(0,($AK18)),((($AI18))^2-(MAX(0,($AK18)))^2)/2,0))/(($AI18)-(0))))</f>
        <v/>
      </c>
      <c r="AD18" s="9">
        <f>$AC18*$W18*$AA18*$Z18</f>
        <v/>
      </c>
      <c r="AE18" s="10">
        <f>IF(($H18="锐"),'参数区'!$B$4,'参数区'!$B$5)</f>
        <v/>
      </c>
      <c r="AF18" s="10">
        <f>$AE18*(1-$G18)</f>
        <v/>
      </c>
      <c r="AG18" s="10">
        <f>IF(($H18="锐"),'参数区'!$B$7,'参数区'!$B$8)</f>
        <v/>
      </c>
      <c r="AH18" s="10">
        <f>$AG18*(1-$G18)</f>
        <v/>
      </c>
      <c r="AI18" s="10">
        <f>IF(($AH18)&lt;=0,(($E18)+($F18))/2,IF(($F18)&lt;=($E18),IF(($AH18)&lt;=0,($E18),IF(($E18)&gt;=($AH18),($E18),IF(($E18)&gt;=($AH18)/2,($E18)*(($E18)+($AH18))/(2*($AH18)),3*($E18)^2/(2*($AH18))))),(IF(MIN($F18,($AH18)/2)&gt;($E18),((MIN($F18,($AH18)/2))^3-(($E18))^3)/(2*($AH18)),0)+IF(MIN($F18,($AH18))&gt;MAX($E18,($AH18)/2),((MIN($F18,($AH18)))^3-(MAX($E18,($AH18)/2))^3)/(6*($AH18))+((MIN($F18,($AH18)))^2-(MAX($E18,($AH18)/2))^2)/4,0)+IF(($F18)&gt;MAX($E18,($AH18)),((($F18))^2-(MAX($E18,($AH18)))^2)/2,0))/(($F18)-($E18))))</f>
        <v/>
      </c>
      <c r="AJ18" s="10">
        <f>IF(($H18="锐"),'参数区'!$B$9,'参数区'!$B$10)</f>
        <v/>
      </c>
      <c r="AK18" s="10">
        <f>$AJ18*(1-$G18)</f>
        <v/>
      </c>
    </row>
  </sheetData>
  <mergeCells count="3">
    <mergeCell ref="A1:T1"/>
    <mergeCell ref="U1:AD1"/>
    <mergeCell ref="AE1:AK1"/>
  </mergeCells>
  <dataValidations count="3">
    <dataValidation sqref="C3:C59" showDropDown="0" showInputMessage="0" showErrorMessage="0" allowBlank="1" type="list">
      <formula1>"是,否"</formula1>
    </dataValidation>
    <dataValidation sqref="D3:D59" showDropDown="0" showInputMessage="0" showErrorMessage="0" allowBlank="1" type="list">
      <formula1>"单手,双手,双持"</formula1>
    </dataValidation>
    <dataValidation sqref="H3:H59" showDropDown="0" showInputMessage="0" showErrorMessage="0" allowBlank="1" type="list">
      <formula1>"锐,钝"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CE4D6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</cols>
  <sheetData>
    <row r="1">
      <c r="A1" s="11" t="inlineStr">
        <is>
          <t>参数区（所有武器表公式集中引用这里，改一处全表联动）</t>
        </is>
      </c>
    </row>
    <row r="3">
      <c r="A3" s="12" t="inlineStr">
        <is>
          <t>护甲预设（可调；默认=ArmorTable 现行值）</t>
        </is>
      </c>
    </row>
    <row r="4">
      <c r="A4" t="inlineStr">
        <is>
          <t>单层甲 · 锐防</t>
        </is>
      </c>
      <c r="B4" s="13" t="n">
        <v>12</v>
      </c>
      <c r="C4" s="14" t="inlineStr">
        <is>
          <t>单层护甲期望伤害用。默认=皮甲 SharpDefense (ArmorTable.Leather)</t>
        </is>
      </c>
    </row>
    <row r="5">
      <c r="A5" t="inlineStr">
        <is>
          <t>单层甲 · 钝防</t>
        </is>
      </c>
      <c r="B5" s="13" t="n">
        <v>6</v>
      </c>
      <c r="C5" s="14" t="inlineStr">
        <is>
          <t>默认=皮甲 BluntDefense</t>
        </is>
      </c>
    </row>
    <row r="7">
      <c r="A7" t="inlineStr">
        <is>
          <t>多层甲 · 外层锐防</t>
        </is>
      </c>
      <c r="B7" s="13" t="n">
        <v>12</v>
      </c>
      <c r="C7" s="14" t="inlineStr">
        <is>
          <t>多层期望的外层。默认=皮甲(外套)</t>
        </is>
      </c>
    </row>
    <row r="8">
      <c r="A8" t="inlineStr">
        <is>
          <t>多层甲 · 外层钝防</t>
        </is>
      </c>
      <c r="B8" s="13" t="n">
        <v>6</v>
      </c>
      <c r="C8" s="14" t="inlineStr"/>
    </row>
    <row r="9">
      <c r="A9" t="inlineStr">
        <is>
          <t>多层甲 · 内层锐防</t>
        </is>
      </c>
      <c r="B9" s="13" t="n">
        <v>4</v>
      </c>
      <c r="C9" s="14" t="inlineStr">
        <is>
          <t>默认=布衣(贴身) SharpDefense (ArmorTable.Cloth)</t>
        </is>
      </c>
    </row>
    <row r="10">
      <c r="A10" t="inlineStr">
        <is>
          <t>多层甲 · 内层钝防</t>
        </is>
      </c>
      <c r="B10" s="13" t="n">
        <v>2</v>
      </c>
      <c r="C10" s="14" t="inlineStr"/>
    </row>
    <row r="12">
      <c r="A12" s="12" t="inlineStr">
        <is>
          <t>命中率 / 距离评估参数</t>
        </is>
      </c>
    </row>
    <row r="13">
      <c r="A13" t="inlineStr">
        <is>
          <t>评估距离（世界单位）</t>
        </is>
      </c>
      <c r="B13" s="13" t="n">
        <v>80</v>
      </c>
      <c r="C13" s="14" t="inlineStr">
        <is>
          <t>远程命中率与距离衰减都在此距离评估。近战不受影响</t>
        </is>
      </c>
    </row>
    <row r="14">
      <c r="A14" t="inlineStr">
        <is>
          <t>目标宽度（世界单位）</t>
        </is>
      </c>
      <c r="B14" s="13" t="n">
        <v>24</v>
      </c>
      <c r="C14" s="14" t="inlineStr">
        <is>
          <t>待确认：引擎未定义世界单位尺度，按像素身宽估。命中率几何用</t>
        </is>
      </c>
    </row>
  </sheetData>
  <mergeCells count="3">
    <mergeCell ref="A1:C1"/>
    <mergeCell ref="A3:C3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5" t="inlineStr">
        <is>
          <t>列 / 概念</t>
        </is>
      </c>
      <c r="B1" s="15" t="inlineStr">
        <is>
          <t>公式假设 · 引擎对应 · 已知简化</t>
        </is>
      </c>
    </row>
    <row r="2">
      <c r="A2" s="16" t="inlineStr">
        <is>
          <t>本版对应引擎</t>
        </is>
      </c>
      <c r="B2" s="14" t="inlineStr">
        <is>
          <t>对应 WeaponTable.cs 当前实况（2026-07 全局慢节奏冷却重标）：冷却全表重标（匕首1.4/长剑3.6/破甲锤4.5/手枪2.0/步枪2.8/狙击5.0/土制枪3.5伤11-22/爪击2.3），破甲锤穿透20%→35%(WeaponTable.cs:125)，新增民用栓动猎枪(16-28/穿16%/射420/冷4.5, WeaponTable.cs:230)，冲锋枪改三连发(BurstCount=3/BurstInterval=0.06, WeaponTable.cs:191-196)。数值皆「拟定待调」。</t>
        </is>
      </c>
    </row>
    <row r="3">
      <c r="A3" s="16" t="inlineStr">
        <is>
          <t>总则</t>
        </is>
      </c>
      <c r="B3" s="14" t="inlineStr">
        <is>
          <t>计算列全程按连续小数期望，不做引擎末端的「向上取整、最低1伤」（CombatResolver.CeilMin1, CombatResolver.cs:156）——期望值取整无意义，实际单次伤害仍会被取整。数值本身皆「拟定待调」，靠 Sim 校准方向。</t>
        </is>
      </c>
    </row>
    <row r="4">
      <c r="A4" s="16" t="inlineStr">
        <is>
          <t>连发感知 DPS</t>
        </is>
      </c>
      <c r="B4" s="14" t="inlineStr">
        <is>
          <t>冲锋枪等连发武器：攻击模型＝冷却→N连发→冷却→N连发（冷却 AttackInterval 语义为连发之后的冷却，WeaponTable.cs:178-196）。循环时长 = 有效冷却 + (连发数-1)×连发内间隔；有效攻速(发/秒)=连发数/循环时长；DPS=每击伤害×有效攻速。连发内间隔(BurstInterval,如0.06)是快速点射的固定节奏，不吃持握慢速；单发武器连发数=1、连发内间隔留空(视为0)则退化为 有效攻速=1/有效冷却。</t>
        </is>
      </c>
    </row>
    <row r="5">
      <c r="A5" s="16" t="inlineStr">
        <is>
          <t>有效冷却/持握</t>
        </is>
      </c>
      <c r="B5" s="14" t="inlineStr">
        <is>
          <t>有效冷却=冷却/持握系数：双手÷1.15(TwoHandedSpeedBonus 更快)、双持÷1.4(=两把单手武器各×0.70 AttackSpeedFactor 叠加, DualWield.cs:30-33)、单手÷1。【简化】双持按「两手同款武器」估；负重/伤残/饥饿能力惩罚未计入（本表不含角色态）。</t>
        </is>
      </c>
    </row>
    <row r="6">
      <c r="A6" s="16" t="inlineStr">
        <is>
          <t>三段判定</t>
        </is>
      </c>
      <c r="B6" s="14" t="inlineStr">
        <is>
          <t>核心期望数学还原 CombatResolver.Resolve (CombatResolver.cs:30-153) + 设计文档 §5「逐层三段判定」(design.md:120-127)：攻方 atk~U(伤害下限,上限)；防方 def~U(0, 适用防御×(1-穿透))。atk≥def 全额(carried=atk)；def/2≤atk&lt;def 半额(carried=atk/2，锐器转钝且穿透归零)；atk&lt;def/2 挡下终止(carried=0)。</t>
        </is>
      </c>
    </row>
    <row r="7">
      <c r="A7" s="16" t="inlineStr">
        <is>
          <t>适用防御</t>
        </is>
      </c>
      <c r="B7" s="14" t="inlineStr">
        <is>
          <t>锐器取护甲 SharpDefense、钝器取 BluntDefense（Model.cs:158 DefenseFor）。Dm=适用防御×(1-穿透)（CombatResolver.cs:63）。护甲预设值在「参数区」，默认取 ArmorTable 现行值（皮甲12/6、布衣4/2，ArmorTable.cs:30-33，本次核对未变）。</t>
        </is>
      </c>
    </row>
    <row r="8">
      <c r="A8" s="16" t="inlineStr">
        <is>
          <t>单层期望伤害</t>
        </is>
      </c>
      <c r="B8" s="14" t="inlineStr">
        <is>
          <t>对 atk~U(a,b) 求 E[carried] 的闭式积分解（无近似，每击）。对固定 atk=t、def~U(0,Dm)：t≥Dm→carried=t；Dm/2≤t&lt;Dm→t(t+Dm)/(2Dm)；t&lt;Dm/2→3t²/(2Dm)。再对 t 在[a,b]分段积分（断点 Dm/2、Dm）。Dm≤0→退化均值(a+b)/2。</t>
        </is>
      </c>
    </row>
    <row r="9">
      <c r="A9" s="16" t="inlineStr">
        <is>
          <t>多层期望伤害</t>
        </is>
      </c>
      <c r="B9" s="14" t="inlineStr">
        <is>
          <t>均场(mean-field)两层链式：外层出 E1，内层令 atk~U(0,E1) 再算一次期望（对应引擎「第二层起 atk~U(0,上层伤害)」design.md:127）。【已知简化】①用 E1 点估计替代真实分布传播；②未建模锐器半伤后「转钝+穿透归零」跨层转换(CombatResolver.cs:80-86)——对锐器是方向性近似。精确多层结果请用 Sim `duel`。默认两层=皮甲(外)+布衣(内)。</t>
        </is>
      </c>
    </row>
    <row r="10">
      <c r="A10" s="16" t="inlineStr">
        <is>
          <t>命中率</t>
        </is>
      </c>
      <c r="B10" s="14" t="inlineStr">
        <is>
          <t>近战必中=1（design.md:94；Weapon.IsRanged=false 无误差角 Model.cs:48）。远程为几何近似：偏转角在[−误差角,+误差角]均匀采样(Ballistics.cs:14)。命中率=目标角半宽/有效误差角，封顶1；目标角半宽=DEGREES(ATAN((目标宽度/2)/评估距离))。双持远程误差角×1.25(DualWield.cs:35)。【简化/待确认】①只算水平锥；②未建模弹道路径命中/撞墙落空/友军误伤(design.md:96)；③目标宽度是世界单位、引擎未定义尺度，参数区按像素身宽估(待确认)。</t>
        </is>
      </c>
    </row>
    <row r="11">
      <c r="A11" s="16" t="inlineStr">
        <is>
          <t>距离衰减系数</t>
        </is>
      </c>
      <c r="B11" s="14" t="inlineStr">
        <is>
          <t>还原 Ballistics.RangedDamageFactor (Ballistics.cs:36-60)：距离≤满伤射程→1；(满伤,最大射程]→线性降到末端系数；&gt;最大射程→0。近战/未填最大射程→恒1。在参数区「评估距离」处求值。护甲在距离衰减之后再扣(design.md:95)——期望DPS已含此顺序。</t>
        </is>
      </c>
    </row>
    <row r="12">
      <c r="A12" s="16" t="inlineStr">
        <is>
          <t>裸DPS</t>
        </is>
      </c>
      <c r="B12" s="14">
        <f>平均裸伤×有效攻速(发/秒)。枪口满伤、无甲、无命中折损的爆发上限，含连发。用于横向比。</f>
        <v/>
      </c>
    </row>
    <row r="13">
      <c r="A13" s="16" t="inlineStr">
        <is>
          <t>期望DPS</t>
        </is>
      </c>
      <c r="B13" s="14">
        <f>多层期望伤害/击×有效攻速(发/秒)×命中率×距离衰减系数。最贴实战的综合评估列（含连发+甲+命中+距离）。</f>
        <v/>
      </c>
    </row>
    <row r="14">
      <c r="A14" s="16" t="inlineStr">
        <is>
          <t>枪托近战</t>
        </is>
      </c>
      <c r="B14" s="14" t="inlineStr">
        <is>
          <t>枪托列仅远程武器填，供参考。贴脸时远程强制降级为枪托钝击(必中、无误差角, Model.cs:105 / design.md:98)。本表未把枪托单列成计算行。</t>
        </is>
      </c>
    </row>
    <row r="15">
      <c r="A15" s="16" t="inlineStr">
        <is>
          <t>未纳入</t>
        </is>
      </c>
      <c r="B15" s="14" t="inlineStr">
        <is>
          <t>流血/骨折/震荡/切除/0HP磨损等效果(design.md:129-144)、伤残能力惩罚、储血分级——命中之后的后续系统，非武器基础数值，本表不含。</t>
        </is>
      </c>
    </row>
    <row r="16">
      <c r="A16" s="16" t="inlineStr">
        <is>
          <t>怎么用</t>
        </is>
      </c>
      <c r="B16" s="14" t="inlineStr">
        <is>
          <t>只填蓝色输入列，绿色计算列自动出数。连发武器填「连发数」「连发内间隔」，单发留空即可。护甲/距离/目标尺寸在「参数区」统一调。灰色中间量可折叠。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2026-07-11T04:28:34Z</dcterms:created>
  <dcterms:modified xsi:type="dcterms:W3CDTF">2026-07-11T04:28:34Z</dcterms:modified>
</cp:coreProperties>
</file>