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武器表" sheetId="1" state="visible" r:id="rId1"/>
    <sheet name="箭矢表" sheetId="2" state="visible" r:id="rId2"/>
    <sheet name="参数区" sheetId="3" state="visible" r:id="rId3"/>
    <sheet name="行为噪音" sheetId="4" state="visible" r:id="rId4"/>
    <sheet name="说明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  <sz val="10"/>
    </font>
    <font>
      <color rgb="00808080"/>
      <sz val="9"/>
    </font>
    <font>
      <b val="1"/>
      <sz val="10"/>
    </font>
    <font>
      <b val="1"/>
      <color rgb="00FFFFFF"/>
      <sz val="11"/>
    </font>
    <font>
      <b val="1"/>
      <sz val="13"/>
    </font>
    <font>
      <b val="1"/>
      <color rgb="00C00000"/>
    </font>
    <font>
      <b val="1"/>
      <color rgb="00FFFFFF"/>
    </font>
  </fonts>
  <fills count="17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4472C4"/>
      </patternFill>
    </fill>
    <fill>
      <patternFill patternType="solid">
        <fgColor rgb="00548235"/>
      </patternFill>
    </fill>
    <fill>
      <patternFill patternType="solid">
        <fgColor rgb="00808080"/>
      </patternFill>
    </fill>
    <fill>
      <patternFill patternType="solid">
        <fgColor rgb="00DCE6F1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ED7D31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D9D9D9"/>
      </patternFill>
    </fill>
    <fill>
      <patternFill patternType="solid">
        <fgColor rgb="00E7E6E6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top" wrapText="1"/>
    </xf>
    <xf numFmtId="2" fontId="0" fillId="7" borderId="1" pivotButton="0" quotePrefix="0" xfId="0"/>
    <xf numFmtId="2" fontId="4" fillId="8" borderId="1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pivotButton="0" quotePrefix="0" xfId="0"/>
    <xf numFmtId="0" fontId="0" fillId="0" borderId="0" applyAlignment="1" pivotButton="0" quotePrefix="0" xfId="0">
      <alignment horizontal="left" vertical="top" wrapText="1"/>
    </xf>
    <xf numFmtId="0" fontId="3" fillId="5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6" fillId="5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3" fillId="9" borderId="0" pivotButton="0" quotePrefix="0" xfId="0"/>
    <xf numFmtId="0" fontId="0" fillId="0" borderId="1" pivotButton="0" quotePrefix="0" xfId="0"/>
    <xf numFmtId="0" fontId="0" fillId="0" borderId="0" pivotButton="0" quotePrefix="0" xfId="0"/>
    <xf numFmtId="0" fontId="2" fillId="11" borderId="0" pivotButton="0" quotePrefix="0" xfId="0"/>
    <xf numFmtId="0" fontId="2" fillId="10" borderId="0" pivotButton="0" quotePrefix="0" xfId="0"/>
    <xf numFmtId="0" fontId="2" fillId="12" borderId="0" pivotButton="0" quotePrefix="0" xfId="0"/>
    <xf numFmtId="2" fontId="0" fillId="10" borderId="0" pivotButton="0" quotePrefix="0" xfId="0"/>
    <xf numFmtId="0" fontId="0" fillId="12" borderId="0" pivotButton="0" quotePrefix="0" xfId="0"/>
    <xf numFmtId="0" fontId="0" fillId="1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2" fillId="10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0" fillId="16" borderId="0" applyAlignment="1" pivotButton="0" quotePrefix="0" xfId="0">
      <alignment horizontal="center"/>
    </xf>
    <xf numFmtId="0" fontId="0" fillId="14" borderId="0" applyAlignment="1" pivotButton="0" quotePrefix="0" xfId="0">
      <alignment horizontal="center"/>
    </xf>
    <xf numFmtId="0" fontId="0" fillId="15" borderId="0" applyAlignment="1" pivotButton="0" quotePrefix="0" xfId="0">
      <alignment horizontal="center"/>
    </xf>
    <xf numFmtId="0" fontId="9" fillId="3" borderId="1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AQ28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style="26" min="1" max="1"/>
    <col width="28" customWidth="1" style="26" min="2" max="2"/>
    <col width="11" customWidth="1" style="26" min="3" max="3"/>
    <col width="16" customWidth="1" style="26" min="4" max="4"/>
    <col width="9" customWidth="1" style="26" min="5" max="5"/>
    <col width="9" customWidth="1" style="26" min="6" max="6"/>
    <col width="10" customWidth="1" style="26" min="7" max="7"/>
    <col width="13" customWidth="1" style="26" min="8" max="8"/>
    <col width="10" customWidth="1" style="26" min="9" max="9"/>
    <col width="8" customWidth="1" style="26" min="10" max="10"/>
    <col width="12" customWidth="1" style="26" min="11" max="11"/>
    <col width="10" customWidth="1" style="26" min="12" max="12"/>
    <col width="10" customWidth="1" style="26" min="13" max="13"/>
    <col width="10" customWidth="1" style="26" min="14" max="14"/>
    <col width="12" customWidth="1" style="26" min="15" max="15"/>
    <col width="9" customWidth="1" style="26" min="16" max="16"/>
    <col width="9" customWidth="1" style="26" min="17" max="17"/>
    <col width="9" customWidth="1" style="26" min="18" max="18"/>
    <col width="9" customWidth="1" style="26" min="19" max="19"/>
    <col width="20" customWidth="1" style="26" min="20" max="20"/>
    <col width="11" customWidth="1" style="26" min="21" max="21"/>
    <col width="11" customWidth="1" style="26" min="22" max="22"/>
    <col width="13" customWidth="1" style="26" min="23" max="23"/>
    <col width="12" customWidth="1" style="26" min="24" max="24"/>
    <col width="10" customWidth="1" style="26" min="25" max="25"/>
    <col width="12" customWidth="1" style="26" min="26" max="26"/>
    <col width="10" customWidth="1" style="26" min="27" max="27"/>
    <col width="12" customWidth="1" style="26" min="28" max="28"/>
    <col width="12" customWidth="1" style="26" min="29" max="29"/>
    <col width="11" customWidth="1" style="26" min="30" max="30"/>
    <col outlineLevel="1" width="12" customWidth="1" style="26" min="31" max="31"/>
    <col outlineLevel="1" width="10" customWidth="1" style="26" min="32" max="32"/>
    <col outlineLevel="1" width="13" customWidth="1" style="26" min="33" max="33"/>
    <col outlineLevel="1" width="10" customWidth="1" style="26" min="34" max="34"/>
    <col outlineLevel="1" width="10" customWidth="1" style="26" min="35" max="35"/>
    <col outlineLevel="1" width="13" customWidth="1" style="26" min="36" max="36"/>
    <col outlineLevel="1" width="10" customWidth="1" style="26" min="37" max="37"/>
    <col width="18" customWidth="1" style="26" min="38" max="38"/>
    <col width="12" customWidth="1" style="26" min="39" max="39"/>
    <col width="28" customWidth="1" style="26" min="40" max="40"/>
    <col width="18" customWidth="1" style="26" min="41" max="41"/>
    <col width="15" customWidth="1" style="26" min="42" max="42"/>
    <col width="30" customWidth="1" style="26" min="43" max="43"/>
  </cols>
  <sheetData>
    <row r="1" ht="18" customHeight="1" s="26">
      <c r="A1" s="1" t="inlineStr">
        <is>
          <t>输入列（手工填）</t>
        </is>
      </c>
      <c r="U1" s="2" t="inlineStr">
        <is>
          <t>计算列（自动，勿改）</t>
        </is>
      </c>
      <c r="AE1" s="3" t="inlineStr">
        <is>
          <t>中间量（推导用，可折叠）</t>
        </is>
      </c>
      <c r="AL1" s="17" t="inlineStr">
        <is>
          <t>负重（输入·待你定）</t>
        </is>
      </c>
      <c r="AM1" s="24" t="inlineStr">
        <is>
          <t>多弹丸（输入·手工填）</t>
        </is>
      </c>
      <c r="AN1" s="24" t="inlineStr">
        <is>
          <t>弹药（输入·手工填）</t>
        </is>
      </c>
      <c r="AO1" s="24" t="inlineStr">
        <is>
          <t>弹药（自动·勿改）</t>
        </is>
      </c>
      <c r="AP1" s="24" t="inlineStr">
        <is>
          <t>噪音（输入·手工填）</t>
        </is>
      </c>
      <c r="AQ1" s="24" t="inlineStr">
        <is>
          <t>砸墙（输入·手工填）</t>
        </is>
      </c>
    </row>
    <row r="2" ht="30" customHeight="1" s="26">
      <c r="A2" s="4" t="inlineStr">
        <is>
          <t>武器名</t>
        </is>
      </c>
      <c r="B2" s="4" t="inlineStr">
        <is>
          <t>简介</t>
        </is>
      </c>
      <c r="C2" s="4" t="inlineStr">
        <is>
          <t>远程?(是/否)</t>
        </is>
      </c>
      <c r="D2" s="4" t="inlineStr">
        <is>
          <t>持握(单手/双手/双持)</t>
        </is>
      </c>
      <c r="E2" s="4" t="inlineStr">
        <is>
          <t>伤害下限</t>
        </is>
      </c>
      <c r="F2" s="4" t="inlineStr">
        <is>
          <t>伤害上限</t>
        </is>
      </c>
      <c r="G2" s="4" t="inlineStr">
        <is>
          <t>穿透(0~1)</t>
        </is>
      </c>
      <c r="H2" s="4" t="inlineStr">
        <is>
          <t>伤害类型(锐/钝)</t>
        </is>
      </c>
      <c r="I2" s="4" t="inlineStr">
        <is>
          <t>冷却(秒)</t>
        </is>
      </c>
      <c r="J2" s="4" t="inlineStr">
        <is>
          <t>连发数</t>
        </is>
      </c>
      <c r="K2" s="4" t="inlineStr">
        <is>
          <t>连发内间隔(秒)</t>
        </is>
      </c>
      <c r="L2" s="4" t="inlineStr">
        <is>
          <t>误差角(°)</t>
        </is>
      </c>
      <c r="M2" s="4" t="inlineStr">
        <is>
          <t>最大射程</t>
        </is>
      </c>
      <c r="N2" s="4" t="inlineStr">
        <is>
          <t>满伤射程</t>
        </is>
      </c>
      <c r="O2" s="4" t="inlineStr">
        <is>
          <t>末端系数(0~1)</t>
        </is>
      </c>
      <c r="P2" s="4" t="inlineStr">
        <is>
          <t>枪托伤下</t>
        </is>
      </c>
      <c r="Q2" s="4" t="inlineStr">
        <is>
          <t>枪托伤上</t>
        </is>
      </c>
      <c r="R2" s="4" t="inlineStr">
        <is>
          <t>枪托间隔</t>
        </is>
      </c>
      <c r="S2" s="4" t="inlineStr">
        <is>
          <t>枪托穿透</t>
        </is>
      </c>
      <c r="T2" s="4" t="inlineStr">
        <is>
          <t>备注</t>
        </is>
      </c>
      <c r="U2" s="5" t="inlineStr">
        <is>
          <t>有效冷却(秒)</t>
        </is>
      </c>
      <c r="V2" s="5" t="inlineStr">
        <is>
          <t>循环时长(秒)</t>
        </is>
      </c>
      <c r="W2" s="5" t="inlineStr">
        <is>
          <t>有效攻速(发/秒)</t>
        </is>
      </c>
      <c r="X2" s="5" t="inlineStr">
        <is>
          <t>平均伤害(裸)</t>
        </is>
      </c>
      <c r="Y2" s="5" t="inlineStr">
        <is>
          <t>裸DPS</t>
        </is>
      </c>
      <c r="Z2" s="5" t="inlineStr">
        <is>
          <t>距离衰减系数</t>
        </is>
      </c>
      <c r="AA2" s="5" t="inlineStr">
        <is>
          <t>命中率</t>
        </is>
      </c>
      <c r="AB2" s="5" t="inlineStr">
        <is>
          <t>单层期望伤害</t>
        </is>
      </c>
      <c r="AC2" s="5" t="inlineStr">
        <is>
          <t>多层期望伤害</t>
        </is>
      </c>
      <c r="AD2" s="5" t="inlineStr">
        <is>
          <t>期望DPS</t>
        </is>
      </c>
      <c r="AE2" s="6" t="inlineStr">
        <is>
          <t>单层·适用防御</t>
        </is>
      </c>
      <c r="AF2" s="6" t="inlineStr">
        <is>
          <t>单层·Dm</t>
        </is>
      </c>
      <c r="AG2" s="6" t="inlineStr">
        <is>
          <t>多层外·适用防御</t>
        </is>
      </c>
      <c r="AH2" s="6" t="inlineStr">
        <is>
          <t>多层外·Dm</t>
        </is>
      </c>
      <c r="AI2" s="6" t="inlineStr">
        <is>
          <t>多层外·E</t>
        </is>
      </c>
      <c r="AJ2" s="6" t="inlineStr">
        <is>
          <t>多层内·适用防御</t>
        </is>
      </c>
      <c r="AK2" s="6" t="inlineStr">
        <is>
          <t>多层内·Dm</t>
        </is>
      </c>
      <c r="AL2" s="4" t="inlineStr">
        <is>
          <t>重量(kg)·拟定待用户定</t>
        </is>
      </c>
      <c r="AM2" s="4" t="inlineStr">
        <is>
          <t>弹丸数(颗)</t>
        </is>
      </c>
      <c r="AN2" s="4" t="inlineStr">
        <is>
          <t>弹药类型(短/中/长子弹·鹿弹·箭·—)</t>
        </is>
      </c>
      <c r="AO2" s="4" t="inlineStr">
        <is>
          <t>每次射击耗弹(发)</t>
        </is>
      </c>
      <c r="AP2" s="4" t="inlineStr">
        <is>
          <t>噪音半径(像素)</t>
        </is>
      </c>
      <c r="AQ2" s="4" t="inlineStr">
        <is>
          <t>砸墙系数(锤子高/刀刃低；枪=按枪托算)</t>
        </is>
      </c>
    </row>
    <row r="3">
      <c r="A3" s="7" t="inlineStr">
        <is>
          <t>匕首</t>
        </is>
      </c>
      <c r="B3" s="8" t="inlineStr">
        <is>
          <t>近战锐器，穿透9%，可双持</t>
        </is>
      </c>
      <c r="C3" s="7" t="inlineStr">
        <is>
          <t>否</t>
        </is>
      </c>
      <c r="D3" s="7" t="inlineStr">
        <is>
          <t>单手</t>
        </is>
      </c>
      <c r="E3" s="7" t="n">
        <v>1</v>
      </c>
      <c r="F3" s="7" t="n">
        <v>7</v>
      </c>
      <c r="G3" s="7" t="n">
        <v>0.09</v>
      </c>
      <c r="H3" s="7" t="inlineStr">
        <is>
          <t>锐</t>
        </is>
      </c>
      <c r="I3" s="7" t="n">
        <v>1.4</v>
      </c>
      <c r="J3" s="7" t="n">
        <v>1</v>
      </c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8" t="inlineStr">
        <is>
          <t>可双持</t>
        </is>
      </c>
      <c r="U3" s="9">
        <f>IF($I3&gt;0,$I3/IF($D3="双手",1.15,IF($D3="双持",1.4,1)),0)</f>
        <v/>
      </c>
      <c r="V3" s="9">
        <f>$U3+((IF($J3="",1,$J3))-1)*(IF($K3="",0,$K3))</f>
        <v/>
      </c>
      <c r="W3" s="9">
        <f>IF($V3&gt;0,(IF($J3="",1,$J3))/$V3,0)</f>
        <v/>
      </c>
      <c r="X3" s="9">
        <f>($E3+$F3)/2</f>
        <v/>
      </c>
      <c r="Y3" s="9">
        <f>$X3*$W3*IF($AM3="",1,$AM3)</f>
        <v/>
      </c>
      <c r="Z3" s="9">
        <f>IF(NOT(($C3="是")),1,IF($M3&lt;=0,1,IF('参数区'!$B$13&gt;$M3,0,IF(OR('参数区'!$B$13&lt;=$N3,$M3&lt;=$N3),1,1-('参数区'!$B$13-$N3)/($M3-$N3)*(1-$O3)))))</f>
        <v/>
      </c>
      <c r="AA3" s="9">
        <f>IF(NOT(($C3="是")),1,IF((IF($D3="双持",$L3*1.25,$L3))&lt;=0,1,MIN(1,DEGREES(ATAN(('参数区'!$B$14/2)/'参数区'!$B$13))/(IF($D3="双持",$L3*1.25,$L3)))))</f>
        <v/>
      </c>
      <c r="AB3" s="9">
        <f>IF(($AF3)&lt;=0,(($E3)+($F3))/2,IF(($F3)&lt;=($E3),IF(($AF3)&lt;=0,($E3),IF(($E3)&gt;=($AF3),($E3),IF(($E3)&gt;=($AF3)/2,($E3)*(($E3)+($AF3))/(2*($AF3)),3*($E3)^2/(2*($AF3))))),(IF(MIN($F3,($AF3)/2)&gt;($E3),((MIN($F3,($AF3)/2))^3-(($E3))^3)/(2*($AF3)),0)+IF(MIN($F3,($AF3))&gt;MAX($E3,($AF3)/2),((MIN($F3,($AF3)))^3-(MAX($E3,($AF3)/2))^3)/(6*($AF3))+((MIN($F3,($AF3)))^2-(MAX($E3,($AF3)/2))^2)/4,0)+IF(($F3)&gt;MAX($E3,($AF3)),((($F3))^2-(MAX($E3,($AF3)))^2)/2,0))/(($F3)-($E3))))</f>
        <v/>
      </c>
      <c r="AC3" s="9">
        <f>IF(($AK3)&lt;=0,((0)+($AI3))/2,IF(($AI3)&lt;=(0),IF(($AK3)&lt;=0,(0),IF((0)&gt;=($AK3),(0),IF((0)&gt;=($AK3)/2,(0)*((0)+($AK3))/(2*($AK3)),3*(0)^2/(2*($AK3))))),(IF(MIN($AI3,($AK3)/2)&gt;(0),((MIN($AI3,($AK3)/2))^3-((0))^3)/(2*($AK3)),0)+IF(MIN($AI3,($AK3))&gt;MAX(0,($AK3)/2),((MIN($AI3,($AK3)))^3-(MAX(0,($AK3)/2))^3)/(6*($AK3))+((MIN($AI3,($AK3)))^2-(MAX(0,($AK3)/2))^2)/4,0)+IF(($AI3)&gt;MAX(0,($AK3)),((($AI3))^2-(MAX(0,($AK3)))^2)/2,0))/(($AI3)-(0))))</f>
        <v/>
      </c>
      <c r="AD3" s="9">
        <f>$AC3*$W3*$AA3*$Z3*IF($AM3="",1,$AM3)</f>
        <v/>
      </c>
      <c r="AE3" s="10">
        <f>IF(($H3="锐"),'参数区'!$B$4,'参数区'!$B$5)</f>
        <v/>
      </c>
      <c r="AF3" s="10">
        <f>$AE3*(1-$G3)</f>
        <v/>
      </c>
      <c r="AG3" s="10">
        <f>IF(($H3="锐"),'参数区'!$B$7,'参数区'!$B$8)</f>
        <v/>
      </c>
      <c r="AH3" s="10">
        <f>$AG3*(1-$G3)</f>
        <v/>
      </c>
      <c r="AI3" s="10">
        <f>IF(($AH3)&lt;=0,(($E3)+($F3))/2,IF(($F3)&lt;=($E3),IF(($AH3)&lt;=0,($E3),IF(($E3)&gt;=($AH3),($E3),IF(($E3)&gt;=($AH3)/2,($E3)*(($E3)+($AH3))/(2*($AH3)),3*($E3)^2/(2*($AH3))))),(IF(MIN($F3,($AH3)/2)&gt;($E3),((MIN($F3,($AH3)/2))^3-(($E3))^3)/(2*($AH3)),0)+IF(MIN($F3,($AH3))&gt;MAX($E3,($AH3)/2),((MIN($F3,($AH3)))^3-(MAX($E3,($AH3)/2))^3)/(6*($AH3))+((MIN($F3,($AH3)))^2-(MAX($E3,($AH3)/2))^2)/4,0)+IF(($F3)&gt;MAX($E3,($AH3)),((($F3))^2-(MAX($E3,($AH3)))^2)/2,0))/(($F3)-($E3))))</f>
        <v/>
      </c>
      <c r="AJ3" s="10">
        <f>IF(($H3="锐"),'参数区'!$B$9,'参数区'!$B$10)</f>
        <v/>
      </c>
      <c r="AK3" s="10">
        <f>$AJ3*(1-$G3)</f>
        <v/>
      </c>
      <c r="AL3" s="18" t="n">
        <v>0.5</v>
      </c>
      <c r="AM3" t="n">
        <v>1</v>
      </c>
      <c r="AN3" t="inlineStr">
        <is>
          <t>—</t>
        </is>
      </c>
      <c r="AO3">
        <f>IF($AN3="—",0,MAX(1,IF($J3="",1,$J3)))</f>
        <v/>
      </c>
      <c r="AP3" s="39" t="n">
        <v>90</v>
      </c>
      <c r="AQ3" s="39" t="n">
        <v>0.4</v>
      </c>
    </row>
    <row r="4">
      <c r="A4" s="7" t="inlineStr">
        <is>
          <t>短剑</t>
        </is>
      </c>
      <c r="B4" s="8" t="inlineStr">
        <is>
          <t>近战锐器，穿透12%</t>
        </is>
      </c>
      <c r="C4" s="7" t="inlineStr">
        <is>
          <t>否</t>
        </is>
      </c>
      <c r="D4" s="7" t="inlineStr">
        <is>
          <t>单手</t>
        </is>
      </c>
      <c r="E4" s="7" t="n">
        <v>1</v>
      </c>
      <c r="F4" s="7" t="n">
        <v>15</v>
      </c>
      <c r="G4" s="7" t="n">
        <v>0.12</v>
      </c>
      <c r="H4" s="7" t="inlineStr">
        <is>
          <t>锐</t>
        </is>
      </c>
      <c r="I4" s="7" t="n">
        <v>2.4</v>
      </c>
      <c r="J4" s="7" t="n">
        <v>1</v>
      </c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8" t="n"/>
      <c r="U4" s="9">
        <f>IF($I4&gt;0,$I4/IF($D4="双手",1.15,IF($D4="双持",1.4,1)),0)</f>
        <v/>
      </c>
      <c r="V4" s="9">
        <f>$U4+((IF($J4="",1,$J4))-1)*(IF($K4="",0,$K4))</f>
        <v/>
      </c>
      <c r="W4" s="9">
        <f>IF($V4&gt;0,(IF($J4="",1,$J4))/$V4,0)</f>
        <v/>
      </c>
      <c r="X4" s="9">
        <f>($E4+$F4)/2</f>
        <v/>
      </c>
      <c r="Y4" s="9">
        <f>$X4*$W4*IF($AM4="",1,$AM4)</f>
        <v/>
      </c>
      <c r="Z4" s="9">
        <f>IF(NOT(($C4="是")),1,IF($M4&lt;=0,1,IF('参数区'!$B$13&gt;$M4,0,IF(OR('参数区'!$B$13&lt;=$N4,$M4&lt;=$N4),1,1-('参数区'!$B$13-$N4)/($M4-$N4)*(1-$O4)))))</f>
        <v/>
      </c>
      <c r="AA4" s="9">
        <f>IF(NOT(($C4="是")),1,IF((IF($D4="双持",$L4*1.25,$L4))&lt;=0,1,MIN(1,DEGREES(ATAN(('参数区'!$B$14/2)/'参数区'!$B$13))/(IF($D4="双持",$L4*1.25,$L4)))))</f>
        <v/>
      </c>
      <c r="AB4" s="9">
        <f>IF(($AF4)&lt;=0,(($E4)+($F4))/2,IF(($F4)&lt;=($E4),IF(($AF4)&lt;=0,($E4),IF(($E4)&gt;=($AF4),($E4),IF(($E4)&gt;=($AF4)/2,($E4)*(($E4)+($AF4))/(2*($AF4)),3*($E4)^2/(2*($AF4))))),(IF(MIN($F4,($AF4)/2)&gt;($E4),((MIN($F4,($AF4)/2))^3-(($E4))^3)/(2*($AF4)),0)+IF(MIN($F4,($AF4))&gt;MAX($E4,($AF4)/2),((MIN($F4,($AF4)))^3-(MAX($E4,($AF4)/2))^3)/(6*($AF4))+((MIN($F4,($AF4)))^2-(MAX($E4,($AF4)/2))^2)/4,0)+IF(($F4)&gt;MAX($E4,($AF4)),((($F4))^2-(MAX($E4,($AF4)))^2)/2,0))/(($F4)-($E4))))</f>
        <v/>
      </c>
      <c r="AC4" s="9">
        <f>IF(($AK4)&lt;=0,((0)+($AI4))/2,IF(($AI4)&lt;=(0),IF(($AK4)&lt;=0,(0),IF((0)&gt;=($AK4),(0),IF((0)&gt;=($AK4)/2,(0)*((0)+($AK4))/(2*($AK4)),3*(0)^2/(2*($AK4))))),(IF(MIN($AI4,($AK4)/2)&gt;(0),((MIN($AI4,($AK4)/2))^3-((0))^3)/(2*($AK4)),0)+IF(MIN($AI4,($AK4))&gt;MAX(0,($AK4)/2),((MIN($AI4,($AK4)))^3-(MAX(0,($AK4)/2))^3)/(6*($AK4))+((MIN($AI4,($AK4)))^2-(MAX(0,($AK4)/2))^2)/4,0)+IF(($AI4)&gt;MAX(0,($AK4)),((($AI4))^2-(MAX(0,($AK4)))^2)/2,0))/(($AI4)-(0))))</f>
        <v/>
      </c>
      <c r="AD4" s="9">
        <f>$AC4*$W4*$AA4*$Z4*IF($AM4="",1,$AM4)</f>
        <v/>
      </c>
      <c r="AE4" s="10">
        <f>IF(($H4="锐"),'参数区'!$B$4,'参数区'!$B$5)</f>
        <v/>
      </c>
      <c r="AF4" s="10">
        <f>$AE4*(1-$G4)</f>
        <v/>
      </c>
      <c r="AG4" s="10">
        <f>IF(($H4="锐"),'参数区'!$B$7,'参数区'!$B$8)</f>
        <v/>
      </c>
      <c r="AH4" s="10">
        <f>$AG4*(1-$G4)</f>
        <v/>
      </c>
      <c r="AI4" s="10">
        <f>IF(($AH4)&lt;=0,(($E4)+($F4))/2,IF(($F4)&lt;=($E4),IF(($AH4)&lt;=0,($E4),IF(($E4)&gt;=($AH4),($E4),IF(($E4)&gt;=($AH4)/2,($E4)*(($E4)+($AH4))/(2*($AH4)),3*($E4)^2/(2*($AH4))))),(IF(MIN($F4,($AH4)/2)&gt;($E4),((MIN($F4,($AH4)/2))^3-(($E4))^3)/(2*($AH4)),0)+IF(MIN($F4,($AH4))&gt;MAX($E4,($AH4)/2),((MIN($F4,($AH4)))^3-(MAX($E4,($AH4)/2))^3)/(6*($AH4))+((MIN($F4,($AH4)))^2-(MAX($E4,($AH4)/2))^2)/4,0)+IF(($F4)&gt;MAX($E4,($AH4)),((($F4))^2-(MAX($E4,($AH4)))^2)/2,0))/(($F4)-($E4))))</f>
        <v/>
      </c>
      <c r="AJ4" s="10">
        <f>IF(($H4="锐"),'参数区'!$B$9,'参数区'!$B$10)</f>
        <v/>
      </c>
      <c r="AK4" s="10">
        <f>$AJ4*(1-$G4)</f>
        <v/>
      </c>
      <c r="AL4" s="18" t="n">
        <v>1.2</v>
      </c>
      <c r="AM4" t="n">
        <v>1</v>
      </c>
      <c r="AN4" t="inlineStr">
        <is>
          <t>—</t>
        </is>
      </c>
      <c r="AO4">
        <f>IF($AN4="—",0,MAX(1,IF($J4="",1,$J4)))</f>
        <v/>
      </c>
      <c r="AP4" s="39" t="n">
        <v>105</v>
      </c>
      <c r="AQ4" s="39" t="n">
        <v>0.4</v>
      </c>
    </row>
    <row r="5">
      <c r="A5" s="7" t="inlineStr">
        <is>
          <t>刺剑</t>
        </is>
      </c>
      <c r="B5" s="8" t="inlineStr">
        <is>
          <t>单手突刺，区间窄穿透略高，可双持</t>
        </is>
      </c>
      <c r="C5" s="7" t="inlineStr">
        <is>
          <t>否</t>
        </is>
      </c>
      <c r="D5" s="7" t="inlineStr">
        <is>
          <t>单手</t>
        </is>
      </c>
      <c r="E5" s="7" t="n">
        <v>1</v>
      </c>
      <c r="F5" s="7" t="n">
        <v>12</v>
      </c>
      <c r="G5" s="7" t="n">
        <v>0.15</v>
      </c>
      <c r="H5" s="7" t="inlineStr">
        <is>
          <t>锐</t>
        </is>
      </c>
      <c r="I5" s="7" t="n">
        <v>1.9</v>
      </c>
      <c r="J5" s="7" t="n">
        <v>1</v>
      </c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8" t="inlineStr">
        <is>
          <t>可双持</t>
        </is>
      </c>
      <c r="U5" s="9">
        <f>IF($I5&gt;0,$I5/IF($D5="双手",1.15,IF($D5="双持",1.4,1)),0)</f>
        <v/>
      </c>
      <c r="V5" s="9">
        <f>$U5+((IF($J5="",1,$J5))-1)*(IF($K5="",0,$K5))</f>
        <v/>
      </c>
      <c r="W5" s="9">
        <f>IF($V5&gt;0,(IF($J5="",1,$J5))/$V5,0)</f>
        <v/>
      </c>
      <c r="X5" s="9">
        <f>($E5+$F5)/2</f>
        <v/>
      </c>
      <c r="Y5" s="9">
        <f>$X5*$W5*IF($AM5="",1,$AM5)</f>
        <v/>
      </c>
      <c r="Z5" s="9">
        <f>IF(NOT(($C5="是")),1,IF($M5&lt;=0,1,IF('参数区'!$B$13&gt;$M5,0,IF(OR('参数区'!$B$13&lt;=$N5,$M5&lt;=$N5),1,1-('参数区'!$B$13-$N5)/($M5-$N5)*(1-$O5)))))</f>
        <v/>
      </c>
      <c r="AA5" s="9">
        <f>IF(NOT(($C5="是")),1,IF((IF($D5="双持",$L5*1.25,$L5))&lt;=0,1,MIN(1,DEGREES(ATAN(('参数区'!$B$14/2)/'参数区'!$B$13))/(IF($D5="双持",$L5*1.25,$L5)))))</f>
        <v/>
      </c>
      <c r="AB5" s="9">
        <f>IF(($AF5)&lt;=0,(($E5)+($F5))/2,IF(($F5)&lt;=($E5),IF(($AF5)&lt;=0,($E5),IF(($E5)&gt;=($AF5),($E5),IF(($E5)&gt;=($AF5)/2,($E5)*(($E5)+($AF5))/(2*($AF5)),3*($E5)^2/(2*($AF5))))),(IF(MIN($F5,($AF5)/2)&gt;($E5),((MIN($F5,($AF5)/2))^3-(($E5))^3)/(2*($AF5)),0)+IF(MIN($F5,($AF5))&gt;MAX($E5,($AF5)/2),((MIN($F5,($AF5)))^3-(MAX($E5,($AF5)/2))^3)/(6*($AF5))+((MIN($F5,($AF5)))^2-(MAX($E5,($AF5)/2))^2)/4,0)+IF(($F5)&gt;MAX($E5,($AF5)),((($F5))^2-(MAX($E5,($AF5)))^2)/2,0))/(($F5)-($E5))))</f>
        <v/>
      </c>
      <c r="AC5" s="9">
        <f>IF(($AK5)&lt;=0,((0)+($AI5))/2,IF(($AI5)&lt;=(0),IF(($AK5)&lt;=0,(0),IF((0)&gt;=($AK5),(0),IF((0)&gt;=($AK5)/2,(0)*((0)+($AK5))/(2*($AK5)),3*(0)^2/(2*($AK5))))),(IF(MIN($AI5,($AK5)/2)&gt;(0),((MIN($AI5,($AK5)/2))^3-((0))^3)/(2*($AK5)),0)+IF(MIN($AI5,($AK5))&gt;MAX(0,($AK5)/2),((MIN($AI5,($AK5)))^3-(MAX(0,($AK5)/2))^3)/(6*($AK5))+((MIN($AI5,($AK5)))^2-(MAX(0,($AK5)/2))^2)/4,0)+IF(($AI5)&gt;MAX(0,($AK5)),((($AI5))^2-(MAX(0,($AK5)))^2)/2,0))/(($AI5)-(0))))</f>
        <v/>
      </c>
      <c r="AD5" s="9">
        <f>$AC5*$W5*$AA5*$Z5*IF($AM5="",1,$AM5)</f>
        <v/>
      </c>
      <c r="AE5" s="10">
        <f>IF(($H5="锐"),'参数区'!$B$4,'参数区'!$B$5)</f>
        <v/>
      </c>
      <c r="AF5" s="10">
        <f>$AE5*(1-$G5)</f>
        <v/>
      </c>
      <c r="AG5" s="10">
        <f>IF(($H5="锐"),'参数区'!$B$7,'参数区'!$B$8)</f>
        <v/>
      </c>
      <c r="AH5" s="10">
        <f>$AG5*(1-$G5)</f>
        <v/>
      </c>
      <c r="AI5" s="10">
        <f>IF(($AH5)&lt;=0,(($E5)+($F5))/2,IF(($F5)&lt;=($E5),IF(($AH5)&lt;=0,($E5),IF(($E5)&gt;=($AH5),($E5),IF(($E5)&gt;=($AH5)/2,($E5)*(($E5)+($AH5))/(2*($AH5)),3*($E5)^2/(2*($AH5))))),(IF(MIN($F5,($AH5)/2)&gt;($E5),((MIN($F5,($AH5)/2))^3-(($E5))^3)/(2*($AH5)),0)+IF(MIN($F5,($AH5))&gt;MAX($E5,($AH5)/2),((MIN($F5,($AH5)))^3-(MAX($E5,($AH5)/2))^3)/(6*($AH5))+((MIN($F5,($AH5)))^2-(MAX($E5,($AH5)/2))^2)/4,0)+IF(($F5)&gt;MAX($E5,($AH5)),((($F5))^2-(MAX($E5,($AH5)))^2)/2,0))/(($F5)-($E5))))</f>
        <v/>
      </c>
      <c r="AJ5" s="10">
        <f>IF(($H5="锐"),'参数区'!$B$9,'参数区'!$B$10)</f>
        <v/>
      </c>
      <c r="AK5" s="10">
        <f>$AJ5*(1-$G5)</f>
        <v/>
      </c>
      <c r="AL5" s="18" t="n">
        <v>1</v>
      </c>
      <c r="AM5" t="n">
        <v>1</v>
      </c>
      <c r="AN5" t="inlineStr">
        <is>
          <t>—</t>
        </is>
      </c>
      <c r="AO5">
        <f>IF($AN5="—",0,MAX(1,IF($J5="",1,$J5)))</f>
        <v/>
      </c>
      <c r="AP5" s="39" t="n">
        <v>95</v>
      </c>
      <c r="AQ5" s="39" t="n">
        <v>0.3</v>
      </c>
    </row>
    <row r="6">
      <c r="A6" s="7" t="inlineStr">
        <is>
          <t>长剑</t>
        </is>
      </c>
      <c r="B6" s="8" t="inlineStr">
        <is>
          <t>近战锐器，穿透18%，双手</t>
        </is>
      </c>
      <c r="C6" s="7" t="inlineStr">
        <is>
          <t>否</t>
        </is>
      </c>
      <c r="D6" s="7" t="inlineStr">
        <is>
          <t>双手</t>
        </is>
      </c>
      <c r="E6" s="7" t="n">
        <v>1</v>
      </c>
      <c r="F6" s="7" t="n">
        <v>21</v>
      </c>
      <c r="G6" s="7" t="n">
        <v>0.18</v>
      </c>
      <c r="H6" s="7" t="inlineStr">
        <is>
          <t>锐</t>
        </is>
      </c>
      <c r="I6" s="7" t="n">
        <v>3.6</v>
      </c>
      <c r="J6" s="7" t="n">
        <v>1</v>
      </c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8" t="n"/>
      <c r="U6" s="9">
        <f>IF($I6&gt;0,$I6/IF($D6="双手",1.15,IF($D6="双持",1.4,1)),0)</f>
        <v/>
      </c>
      <c r="V6" s="9">
        <f>$U6+((IF($J6="",1,$J6))-1)*(IF($K6="",0,$K6))</f>
        <v/>
      </c>
      <c r="W6" s="9">
        <f>IF($V6&gt;0,(IF($J6="",1,$J6))/$V6,0)</f>
        <v/>
      </c>
      <c r="X6" s="9">
        <f>($E6+$F6)/2</f>
        <v/>
      </c>
      <c r="Y6" s="9">
        <f>$X6*$W6*IF($AM6="",1,$AM6)</f>
        <v/>
      </c>
      <c r="Z6" s="9">
        <f>IF(NOT(($C6="是")),1,IF($M6&lt;=0,1,IF('参数区'!$B$13&gt;$M6,0,IF(OR('参数区'!$B$13&lt;=$N6,$M6&lt;=$N6),1,1-('参数区'!$B$13-$N6)/($M6-$N6)*(1-$O6)))))</f>
        <v/>
      </c>
      <c r="AA6" s="9">
        <f>IF(NOT(($C6="是")),1,IF((IF($D6="双持",$L6*1.25,$L6))&lt;=0,1,MIN(1,DEGREES(ATAN(('参数区'!$B$14/2)/'参数区'!$B$13))/(IF($D6="双持",$L6*1.25,$L6)))))</f>
        <v/>
      </c>
      <c r="AB6" s="9">
        <f>IF(($AF6)&lt;=0,(($E6)+($F6))/2,IF(($F6)&lt;=($E6),IF(($AF6)&lt;=0,($E6),IF(($E6)&gt;=($AF6),($E6),IF(($E6)&gt;=($AF6)/2,($E6)*(($E6)+($AF6))/(2*($AF6)),3*($E6)^2/(2*($AF6))))),(IF(MIN($F6,($AF6)/2)&gt;($E6),((MIN($F6,($AF6)/2))^3-(($E6))^3)/(2*($AF6)),0)+IF(MIN($F6,($AF6))&gt;MAX($E6,($AF6)/2),((MIN($F6,($AF6)))^3-(MAX($E6,($AF6)/2))^3)/(6*($AF6))+((MIN($F6,($AF6)))^2-(MAX($E6,($AF6)/2))^2)/4,0)+IF(($F6)&gt;MAX($E6,($AF6)),((($F6))^2-(MAX($E6,($AF6)))^2)/2,0))/(($F6)-($E6))))</f>
        <v/>
      </c>
      <c r="AC6" s="9">
        <f>IF(($AK6)&lt;=0,((0)+($AI6))/2,IF(($AI6)&lt;=(0),IF(($AK6)&lt;=0,(0),IF((0)&gt;=($AK6),(0),IF((0)&gt;=($AK6)/2,(0)*((0)+($AK6))/(2*($AK6)),3*(0)^2/(2*($AK6))))),(IF(MIN($AI6,($AK6)/2)&gt;(0),((MIN($AI6,($AK6)/2))^3-((0))^3)/(2*($AK6)),0)+IF(MIN($AI6,($AK6))&gt;MAX(0,($AK6)/2),((MIN($AI6,($AK6)))^3-(MAX(0,($AK6)/2))^3)/(6*($AK6))+((MIN($AI6,($AK6)))^2-(MAX(0,($AK6)/2))^2)/4,0)+IF(($AI6)&gt;MAX(0,($AK6)),((($AI6))^2-(MAX(0,($AK6)))^2)/2,0))/(($AI6)-(0))))</f>
        <v/>
      </c>
      <c r="AD6" s="9">
        <f>$AC6*$W6*$AA6*$Z6*IF($AM6="",1,$AM6)</f>
        <v/>
      </c>
      <c r="AE6" s="10">
        <f>IF(($H6="锐"),'参数区'!$B$4,'参数区'!$B$5)</f>
        <v/>
      </c>
      <c r="AF6" s="10">
        <f>$AE6*(1-$G6)</f>
        <v/>
      </c>
      <c r="AG6" s="10">
        <f>IF(($H6="锐"),'参数区'!$B$7,'参数区'!$B$8)</f>
        <v/>
      </c>
      <c r="AH6" s="10">
        <f>$AG6*(1-$G6)</f>
        <v/>
      </c>
      <c r="AI6" s="10">
        <f>IF(($AH6)&lt;=0,(($E6)+($F6))/2,IF(($F6)&lt;=($E6),IF(($AH6)&lt;=0,($E6),IF(($E6)&gt;=($AH6),($E6),IF(($E6)&gt;=($AH6)/2,($E6)*(($E6)+($AH6))/(2*($AH6)),3*($E6)^2/(2*($AH6))))),(IF(MIN($F6,($AH6)/2)&gt;($E6),((MIN($F6,($AH6)/2))^3-(($E6))^3)/(2*($AH6)),0)+IF(MIN($F6,($AH6))&gt;MAX($E6,($AH6)/2),((MIN($F6,($AH6)))^3-(MAX($E6,($AH6)/2))^3)/(6*($AH6))+((MIN($F6,($AH6)))^2-(MAX($E6,($AH6)/2))^2)/4,0)+IF(($F6)&gt;MAX($E6,($AH6)),((($F6))^2-(MAX($E6,($AH6)))^2)/2,0))/(($F6)-($E6))))</f>
        <v/>
      </c>
      <c r="AJ6" s="10">
        <f>IF(($H6="锐"),'参数区'!$B$9,'参数区'!$B$10)</f>
        <v/>
      </c>
      <c r="AK6" s="10">
        <f>$AJ6*(1-$G6)</f>
        <v/>
      </c>
      <c r="AL6" s="18" t="n">
        <v>2.5</v>
      </c>
      <c r="AM6" t="n">
        <v>1</v>
      </c>
      <c r="AN6" t="inlineStr">
        <is>
          <t>—</t>
        </is>
      </c>
      <c r="AO6">
        <f>IF($AN6="—",0,MAX(1,IF($J6="",1,$J6)))</f>
        <v/>
      </c>
      <c r="AP6" s="39" t="n">
        <v>120</v>
      </c>
      <c r="AQ6" s="39" t="n">
        <v>0.4</v>
      </c>
    </row>
    <row r="7">
      <c r="A7" s="7" t="inlineStr">
        <is>
          <t>草叉</t>
        </is>
      </c>
      <c r="B7" s="8" t="inlineStr">
        <is>
          <t>双手农具多齿突刺</t>
        </is>
      </c>
      <c r="C7" s="7" t="inlineStr">
        <is>
          <t>否</t>
        </is>
      </c>
      <c r="D7" s="7" t="inlineStr">
        <is>
          <t>双手</t>
        </is>
      </c>
      <c r="E7" s="7" t="n">
        <v>1</v>
      </c>
      <c r="F7" s="7" t="n">
        <v>18</v>
      </c>
      <c r="G7" s="7" t="n">
        <v>0.16</v>
      </c>
      <c r="H7" s="7" t="inlineStr">
        <is>
          <t>锐</t>
        </is>
      </c>
      <c r="I7" s="7" t="n">
        <v>3.7</v>
      </c>
      <c r="J7" s="7" t="n">
        <v>1</v>
      </c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8" t="n"/>
      <c r="U7" s="9">
        <f>IF($I7&gt;0,$I7/IF($D7="双手",1.15,IF($D7="双持",1.4,1)),0)</f>
        <v/>
      </c>
      <c r="V7" s="9">
        <f>$U7+((IF($J7="",1,$J7))-1)*(IF($K7="",0,$K7))</f>
        <v/>
      </c>
      <c r="W7" s="9">
        <f>IF($V7&gt;0,(IF($J7="",1,$J7))/$V7,0)</f>
        <v/>
      </c>
      <c r="X7" s="9">
        <f>($E7+$F7)/2</f>
        <v/>
      </c>
      <c r="Y7" s="9">
        <f>$X7*$W7*IF($AM7="",1,$AM7)</f>
        <v/>
      </c>
      <c r="Z7" s="9">
        <f>IF(NOT(($C7="是")),1,IF($M7&lt;=0,1,IF('参数区'!$B$13&gt;$M7,0,IF(OR('参数区'!$B$13&lt;=$N7,$M7&lt;=$N7),1,1-('参数区'!$B$13-$N7)/($M7-$N7)*(1-$O7)))))</f>
        <v/>
      </c>
      <c r="AA7" s="9">
        <f>IF(NOT(($C7="是")),1,IF((IF($D7="双持",$L7*1.25,$L7))&lt;=0,1,MIN(1,DEGREES(ATAN(('参数区'!$B$14/2)/'参数区'!$B$13))/(IF($D7="双持",$L7*1.25,$L7)))))</f>
        <v/>
      </c>
      <c r="AB7" s="9">
        <f>IF(($AF7)&lt;=0,(($E7)+($F7))/2,IF(($F7)&lt;=($E7),IF(($AF7)&lt;=0,($E7),IF(($E7)&gt;=($AF7),($E7),IF(($E7)&gt;=($AF7)/2,($E7)*(($E7)+($AF7))/(2*($AF7)),3*($E7)^2/(2*($AF7))))),(IF(MIN($F7,($AF7)/2)&gt;($E7),((MIN($F7,($AF7)/2))^3-(($E7))^3)/(2*($AF7)),0)+IF(MIN($F7,($AF7))&gt;MAX($E7,($AF7)/2),((MIN($F7,($AF7)))^3-(MAX($E7,($AF7)/2))^3)/(6*($AF7))+((MIN($F7,($AF7)))^2-(MAX($E7,($AF7)/2))^2)/4,0)+IF(($F7)&gt;MAX($E7,($AF7)),((($F7))^2-(MAX($E7,($AF7)))^2)/2,0))/(($F7)-($E7))))</f>
        <v/>
      </c>
      <c r="AC7" s="9">
        <f>IF(($AK7)&lt;=0,((0)+($AI7))/2,IF(($AI7)&lt;=(0),IF(($AK7)&lt;=0,(0),IF((0)&gt;=($AK7),(0),IF((0)&gt;=($AK7)/2,(0)*((0)+($AK7))/(2*($AK7)),3*(0)^2/(2*($AK7))))),(IF(MIN($AI7,($AK7)/2)&gt;(0),((MIN($AI7,($AK7)/2))^3-((0))^3)/(2*($AK7)),0)+IF(MIN($AI7,($AK7))&gt;MAX(0,($AK7)/2),((MIN($AI7,($AK7)))^3-(MAX(0,($AK7)/2))^3)/(6*($AK7))+((MIN($AI7,($AK7)))^2-(MAX(0,($AK7)/2))^2)/4,0)+IF(($AI7)&gt;MAX(0,($AK7)),((($AI7))^2-(MAX(0,($AK7)))^2)/2,0))/(($AI7)-(0))))</f>
        <v/>
      </c>
      <c r="AD7" s="9">
        <f>$AC7*$W7*$AA7*$Z7*IF($AM7="",1,$AM7)</f>
        <v/>
      </c>
      <c r="AE7" s="10">
        <f>IF(($H7="锐"),'参数区'!$B$4,'参数区'!$B$5)</f>
        <v/>
      </c>
      <c r="AF7" s="10">
        <f>$AE7*(1-$G7)</f>
        <v/>
      </c>
      <c r="AG7" s="10">
        <f>IF(($H7="锐"),'参数区'!$B$7,'参数区'!$B$8)</f>
        <v/>
      </c>
      <c r="AH7" s="10">
        <f>$AG7*(1-$G7)</f>
        <v/>
      </c>
      <c r="AI7" s="10">
        <f>IF(($AH7)&lt;=0,(($E7)+($F7))/2,IF(($F7)&lt;=($E7),IF(($AH7)&lt;=0,($E7),IF(($E7)&gt;=($AH7),($E7),IF(($E7)&gt;=($AH7)/2,($E7)*(($E7)+($AH7))/(2*($AH7)),3*($E7)^2/(2*($AH7))))),(IF(MIN($F7,($AH7)/2)&gt;($E7),((MIN($F7,($AH7)/2))^3-(($E7))^3)/(2*($AH7)),0)+IF(MIN($F7,($AH7))&gt;MAX($E7,($AH7)/2),((MIN($F7,($AH7)))^3-(MAX($E7,($AH7)/2))^3)/(6*($AH7))+((MIN($F7,($AH7)))^2-(MAX($E7,($AH7)/2))^2)/4,0)+IF(($F7)&gt;MAX($E7,($AH7)),((($F7))^2-(MAX($E7,($AH7)))^2)/2,0))/(($F7)-($E7))))</f>
        <v/>
      </c>
      <c r="AJ7" s="10">
        <f>IF(($H7="锐"),'参数区'!$B$9,'参数区'!$B$10)</f>
        <v/>
      </c>
      <c r="AK7" s="10">
        <f>$AJ7*(1-$G7)</f>
        <v/>
      </c>
      <c r="AL7" s="18" t="n">
        <v>2.8</v>
      </c>
      <c r="AM7" t="n">
        <v>1</v>
      </c>
      <c r="AN7" t="inlineStr">
        <is>
          <t>—</t>
        </is>
      </c>
      <c r="AO7">
        <f>IF($AN7="—",0,MAX(1,IF($J7="",1,$J7)))</f>
        <v/>
      </c>
      <c r="AP7" s="39" t="n">
        <v>120</v>
      </c>
      <c r="AQ7" s="39" t="n">
        <v>0.3</v>
      </c>
    </row>
    <row r="8">
      <c r="A8" s="7" t="inlineStr">
        <is>
          <t>重剑</t>
        </is>
      </c>
      <c r="B8" s="8" t="inlineStr">
        <is>
          <t>近战锐器，穿透24%，双手</t>
        </is>
      </c>
      <c r="C8" s="7" t="inlineStr">
        <is>
          <t>否</t>
        </is>
      </c>
      <c r="D8" s="7" t="inlineStr">
        <is>
          <t>双手</t>
        </is>
      </c>
      <c r="E8" s="7" t="n">
        <v>1</v>
      </c>
      <c r="F8" s="7" t="n">
        <v>27</v>
      </c>
      <c r="G8" s="7" t="n">
        <v>0.24</v>
      </c>
      <c r="H8" s="7" t="inlineStr">
        <is>
          <t>锐</t>
        </is>
      </c>
      <c r="I8" s="7" t="n">
        <v>4</v>
      </c>
      <c r="J8" s="7" t="n">
        <v>1</v>
      </c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8" t="n"/>
      <c r="U8" s="9">
        <f>IF($I8&gt;0,$I8/IF($D8="双手",1.15,IF($D8="双持",1.4,1)),0)</f>
        <v/>
      </c>
      <c r="V8" s="9">
        <f>$U8+((IF($J8="",1,$J8))-1)*(IF($K8="",0,$K8))</f>
        <v/>
      </c>
      <c r="W8" s="9">
        <f>IF($V8&gt;0,(IF($J8="",1,$J8))/$V8,0)</f>
        <v/>
      </c>
      <c r="X8" s="9">
        <f>($E8+$F8)/2</f>
        <v/>
      </c>
      <c r="Y8" s="9">
        <f>$X8*$W8*IF($AM8="",1,$AM8)</f>
        <v/>
      </c>
      <c r="Z8" s="9">
        <f>IF(NOT(($C8="是")),1,IF($M8&lt;=0,1,IF('参数区'!$B$13&gt;$M8,0,IF(OR('参数区'!$B$13&lt;=$N8,$M8&lt;=$N8),1,1-('参数区'!$B$13-$N8)/($M8-$N8)*(1-$O8)))))</f>
        <v/>
      </c>
      <c r="AA8" s="9">
        <f>IF(NOT(($C8="是")),1,IF((IF($D8="双持",$L8*1.25,$L8))&lt;=0,1,MIN(1,DEGREES(ATAN(('参数区'!$B$14/2)/'参数区'!$B$13))/(IF($D8="双持",$L8*1.25,$L8)))))</f>
        <v/>
      </c>
      <c r="AB8" s="9">
        <f>IF(($AF8)&lt;=0,(($E8)+($F8))/2,IF(($F8)&lt;=($E8),IF(($AF8)&lt;=0,($E8),IF(($E8)&gt;=($AF8),($E8),IF(($E8)&gt;=($AF8)/2,($E8)*(($E8)+($AF8))/(2*($AF8)),3*($E8)^2/(2*($AF8))))),(IF(MIN($F8,($AF8)/2)&gt;($E8),((MIN($F8,($AF8)/2))^3-(($E8))^3)/(2*($AF8)),0)+IF(MIN($F8,($AF8))&gt;MAX($E8,($AF8)/2),((MIN($F8,($AF8)))^3-(MAX($E8,($AF8)/2))^3)/(6*($AF8))+((MIN($F8,($AF8)))^2-(MAX($E8,($AF8)/2))^2)/4,0)+IF(($F8)&gt;MAX($E8,($AF8)),((($F8))^2-(MAX($E8,($AF8)))^2)/2,0))/(($F8)-($E8))))</f>
        <v/>
      </c>
      <c r="AC8" s="9">
        <f>IF(($AK8)&lt;=0,((0)+($AI8))/2,IF(($AI8)&lt;=(0),IF(($AK8)&lt;=0,(0),IF((0)&gt;=($AK8),(0),IF((0)&gt;=($AK8)/2,(0)*((0)+($AK8))/(2*($AK8)),3*(0)^2/(2*($AK8))))),(IF(MIN($AI8,($AK8)/2)&gt;(0),((MIN($AI8,($AK8)/2))^3-((0))^3)/(2*($AK8)),0)+IF(MIN($AI8,($AK8))&gt;MAX(0,($AK8)/2),((MIN($AI8,($AK8)))^3-(MAX(0,($AK8)/2))^3)/(6*($AK8))+((MIN($AI8,($AK8)))^2-(MAX(0,($AK8)/2))^2)/4,0)+IF(($AI8)&gt;MAX(0,($AK8)),((($AI8))^2-(MAX(0,($AK8)))^2)/2,0))/(($AI8)-(0))))</f>
        <v/>
      </c>
      <c r="AD8" s="9">
        <f>$AC8*$W8*$AA8*$Z8*IF($AM8="",1,$AM8)</f>
        <v/>
      </c>
      <c r="AE8" s="10">
        <f>IF(($H8="锐"),'参数区'!$B$4,'参数区'!$B$5)</f>
        <v/>
      </c>
      <c r="AF8" s="10">
        <f>$AE8*(1-$G8)</f>
        <v/>
      </c>
      <c r="AG8" s="10">
        <f>IF(($H8="锐"),'参数区'!$B$7,'参数区'!$B$8)</f>
        <v/>
      </c>
      <c r="AH8" s="10">
        <f>$AG8*(1-$G8)</f>
        <v/>
      </c>
      <c r="AI8" s="10">
        <f>IF(($AH8)&lt;=0,(($E8)+($F8))/2,IF(($F8)&lt;=($E8),IF(($AH8)&lt;=0,($E8),IF(($E8)&gt;=($AH8),($E8),IF(($E8)&gt;=($AH8)/2,($E8)*(($E8)+($AH8))/(2*($AH8)),3*($E8)^2/(2*($AH8))))),(IF(MIN($F8,($AH8)/2)&gt;($E8),((MIN($F8,($AH8)/2))^3-(($E8))^3)/(2*($AH8)),0)+IF(MIN($F8,($AH8))&gt;MAX($E8,($AH8)/2),((MIN($F8,($AH8)))^3-(MAX($E8,($AH8)/2))^3)/(6*($AH8))+((MIN($F8,($AH8)))^2-(MAX($E8,($AH8)/2))^2)/4,0)+IF(($F8)&gt;MAX($E8,($AH8)),((($F8))^2-(MAX($E8,($AH8)))^2)/2,0))/(($F8)-($E8))))</f>
        <v/>
      </c>
      <c r="AJ8" s="10">
        <f>IF(($H8="锐"),'参数区'!$B$9,'参数区'!$B$10)</f>
        <v/>
      </c>
      <c r="AK8" s="10">
        <f>$AJ8*(1-$G8)</f>
        <v/>
      </c>
      <c r="AL8" s="18" t="n">
        <v>3.5</v>
      </c>
      <c r="AM8" t="n">
        <v>1</v>
      </c>
      <c r="AN8" t="inlineStr">
        <is>
          <t>—</t>
        </is>
      </c>
      <c r="AO8">
        <f>IF($AN8="—",0,MAX(1,IF($J8="",1,$J8)))</f>
        <v/>
      </c>
      <c r="AP8" s="39" t="n">
        <v>135</v>
      </c>
      <c r="AQ8" s="39" t="n">
        <v>0.5</v>
      </c>
    </row>
    <row r="9">
      <c r="A9" s="7" t="inlineStr">
        <is>
          <t>棍棒</t>
        </is>
      </c>
      <c r="B9" s="8" t="inlineStr">
        <is>
          <t>近战钝器，穿透3%</t>
        </is>
      </c>
      <c r="C9" s="7" t="inlineStr">
        <is>
          <t>否</t>
        </is>
      </c>
      <c r="D9" s="7" t="inlineStr">
        <is>
          <t>单手</t>
        </is>
      </c>
      <c r="E9" s="7" t="n">
        <v>10</v>
      </c>
      <c r="F9" s="7" t="n">
        <v>13</v>
      </c>
      <c r="G9" s="7" t="n">
        <v>0.03</v>
      </c>
      <c r="H9" s="7" t="inlineStr">
        <is>
          <t>钝</t>
        </is>
      </c>
      <c r="I9" s="7" t="n">
        <v>2.4</v>
      </c>
      <c r="J9" s="7" t="n">
        <v>1</v>
      </c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8" t="n"/>
      <c r="U9" s="9">
        <f>IF($I9&gt;0,$I9/IF($D9="双手",1.15,IF($D9="双持",1.4,1)),0)</f>
        <v/>
      </c>
      <c r="V9" s="9">
        <f>$U9+((IF($J9="",1,$J9))-1)*(IF($K9="",0,$K9))</f>
        <v/>
      </c>
      <c r="W9" s="9">
        <f>IF($V9&gt;0,(IF($J9="",1,$J9))/$V9,0)</f>
        <v/>
      </c>
      <c r="X9" s="9">
        <f>($E9+$F9)/2</f>
        <v/>
      </c>
      <c r="Y9" s="9">
        <f>$X9*$W9*IF($AM9="",1,$AM9)</f>
        <v/>
      </c>
      <c r="Z9" s="9">
        <f>IF(NOT(($C9="是")),1,IF($M9&lt;=0,1,IF('参数区'!$B$13&gt;$M9,0,IF(OR('参数区'!$B$13&lt;=$N9,$M9&lt;=$N9),1,1-('参数区'!$B$13-$N9)/($M9-$N9)*(1-$O9)))))</f>
        <v/>
      </c>
      <c r="AA9" s="9">
        <f>IF(NOT(($C9="是")),1,IF((IF($D9="双持",$L9*1.25,$L9))&lt;=0,1,MIN(1,DEGREES(ATAN(('参数区'!$B$14/2)/'参数区'!$B$13))/(IF($D9="双持",$L9*1.25,$L9)))))</f>
        <v/>
      </c>
      <c r="AB9" s="9">
        <f>IF(($AF9)&lt;=0,(($E9)+($F9))/2,IF(($F9)&lt;=($E9),IF(($AF9)&lt;=0,($E9),IF(($E9)&gt;=($AF9),($E9),IF(($E9)&gt;=($AF9)/2,($E9)*(($E9)+($AF9))/(2*($AF9)),3*($E9)^2/(2*($AF9))))),(IF(MIN($F9,($AF9)/2)&gt;($E9),((MIN($F9,($AF9)/2))^3-(($E9))^3)/(2*($AF9)),0)+IF(MIN($F9,($AF9))&gt;MAX($E9,($AF9)/2),((MIN($F9,($AF9)))^3-(MAX($E9,($AF9)/2))^3)/(6*($AF9))+((MIN($F9,($AF9)))^2-(MAX($E9,($AF9)/2))^2)/4,0)+IF(($F9)&gt;MAX($E9,($AF9)),((($F9))^2-(MAX($E9,($AF9)))^2)/2,0))/(($F9)-($E9))))</f>
        <v/>
      </c>
      <c r="AC9" s="9">
        <f>IF(($AK9)&lt;=0,((0)+($AI9))/2,IF(($AI9)&lt;=(0),IF(($AK9)&lt;=0,(0),IF((0)&gt;=($AK9),(0),IF((0)&gt;=($AK9)/2,(0)*((0)+($AK9))/(2*($AK9)),3*(0)^2/(2*($AK9))))),(IF(MIN($AI9,($AK9)/2)&gt;(0),((MIN($AI9,($AK9)/2))^3-((0))^3)/(2*($AK9)),0)+IF(MIN($AI9,($AK9))&gt;MAX(0,($AK9)/2),((MIN($AI9,($AK9)))^3-(MAX(0,($AK9)/2))^3)/(6*($AK9))+((MIN($AI9,($AK9)))^2-(MAX(0,($AK9)/2))^2)/4,0)+IF(($AI9)&gt;MAX(0,($AK9)),((($AI9))^2-(MAX(0,($AK9)))^2)/2,0))/(($AI9)-(0))))</f>
        <v/>
      </c>
      <c r="AD9" s="9">
        <f>$AC9*$W9*$AA9*$Z9*IF($AM9="",1,$AM9)</f>
        <v/>
      </c>
      <c r="AE9" s="10">
        <f>IF(($H9="锐"),'参数区'!$B$4,'参数区'!$B$5)</f>
        <v/>
      </c>
      <c r="AF9" s="10">
        <f>$AE9*(1-$G9)</f>
        <v/>
      </c>
      <c r="AG9" s="10">
        <f>IF(($H9="锐"),'参数区'!$B$7,'参数区'!$B$8)</f>
        <v/>
      </c>
      <c r="AH9" s="10">
        <f>$AG9*(1-$G9)</f>
        <v/>
      </c>
      <c r="AI9" s="10">
        <f>IF(($AH9)&lt;=0,(($E9)+($F9))/2,IF(($F9)&lt;=($E9),IF(($AH9)&lt;=0,($E9),IF(($E9)&gt;=($AH9),($E9),IF(($E9)&gt;=($AH9)/2,($E9)*(($E9)+($AH9))/(2*($AH9)),3*($E9)^2/(2*($AH9))))),(IF(MIN($F9,($AH9)/2)&gt;($E9),((MIN($F9,($AH9)/2))^3-(($E9))^3)/(2*($AH9)),0)+IF(MIN($F9,($AH9))&gt;MAX($E9,($AH9)/2),((MIN($F9,($AH9)))^3-(MAX($E9,($AH9)/2))^3)/(6*($AH9))+((MIN($F9,($AH9)))^2-(MAX($E9,($AH9)/2))^2)/4,0)+IF(($F9)&gt;MAX($E9,($AH9)),((($F9))^2-(MAX($E9,($AH9)))^2)/2,0))/(($F9)-($E9))))</f>
        <v/>
      </c>
      <c r="AJ9" s="10">
        <f>IF(($H9="锐"),'参数区'!$B$9,'参数区'!$B$10)</f>
        <v/>
      </c>
      <c r="AK9" s="10">
        <f>$AJ9*(1-$G9)</f>
        <v/>
      </c>
      <c r="AL9" s="18" t="n">
        <v>1.5</v>
      </c>
      <c r="AM9" t="n">
        <v>1</v>
      </c>
      <c r="AN9" t="inlineStr">
        <is>
          <t>—</t>
        </is>
      </c>
      <c r="AO9">
        <f>IF($AN9="—",0,MAX(1,IF($J9="",1,$J9)))</f>
        <v/>
      </c>
      <c r="AP9" s="39" t="n">
        <v>110</v>
      </c>
      <c r="AQ9" s="39" t="n">
        <v>1.2</v>
      </c>
    </row>
    <row r="10">
      <c r="A10" s="7" t="inlineStr">
        <is>
          <t>尖头锤</t>
        </is>
      </c>
      <c r="B10" s="8" t="inlineStr">
        <is>
          <t>近战钝器，穿透5%</t>
        </is>
      </c>
      <c r="C10" s="7" t="inlineStr">
        <is>
          <t>否</t>
        </is>
      </c>
      <c r="D10" s="7" t="inlineStr">
        <is>
          <t>单手</t>
        </is>
      </c>
      <c r="E10" s="7" t="n">
        <v>15</v>
      </c>
      <c r="F10" s="7" t="n">
        <v>20</v>
      </c>
      <c r="G10" s="7" t="n">
        <v>0.05</v>
      </c>
      <c r="H10" s="7" t="inlineStr">
        <is>
          <t>钝</t>
        </is>
      </c>
      <c r="I10" s="7" t="n">
        <v>3.7</v>
      </c>
      <c r="J10" s="7" t="n">
        <v>1</v>
      </c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8" t="n"/>
      <c r="U10" s="9">
        <f>IF($I10&gt;0,$I10/IF($D10="双手",1.15,IF($D10="双持",1.4,1)),0)</f>
        <v/>
      </c>
      <c r="V10" s="9">
        <f>$U10+((IF($J10="",1,$J10))-1)*(IF($K10="",0,$K10))</f>
        <v/>
      </c>
      <c r="W10" s="9">
        <f>IF($V10&gt;0,(IF($J10="",1,$J10))/$V10,0)</f>
        <v/>
      </c>
      <c r="X10" s="9">
        <f>($E10+$F10)/2</f>
        <v/>
      </c>
      <c r="Y10" s="9">
        <f>$X10*$W10*IF($AM10="",1,$AM10)</f>
        <v/>
      </c>
      <c r="Z10" s="9">
        <f>IF(NOT(($C10="是")),1,IF($M10&lt;=0,1,IF('参数区'!$B$13&gt;$M10,0,IF(OR('参数区'!$B$13&lt;=$N10,$M10&lt;=$N10),1,1-('参数区'!$B$13-$N10)/($M10-$N10)*(1-$O10)))))</f>
        <v/>
      </c>
      <c r="AA10" s="9">
        <f>IF(NOT(($C10="是")),1,IF((IF($D10="双持",$L10*1.25,$L10))&lt;=0,1,MIN(1,DEGREES(ATAN(('参数区'!$B$14/2)/'参数区'!$B$13))/(IF($D10="双持",$L10*1.25,$L10)))))</f>
        <v/>
      </c>
      <c r="AB10" s="9">
        <f>IF(($AF10)&lt;=0,(($E10)+($F10))/2,IF(($F10)&lt;=($E10),IF(($AF10)&lt;=0,($E10),IF(($E10)&gt;=($AF10),($E10),IF(($E10)&gt;=($AF10)/2,($E10)*(($E10)+($AF10))/(2*($AF10)),3*($E10)^2/(2*($AF10))))),(IF(MIN($F10,($AF10)/2)&gt;($E10),((MIN($F10,($AF10)/2))^3-(($E10))^3)/(2*($AF10)),0)+IF(MIN($F10,($AF10))&gt;MAX($E10,($AF10)/2),((MIN($F10,($AF10)))^3-(MAX($E10,($AF10)/2))^3)/(6*($AF10))+((MIN($F10,($AF10)))^2-(MAX($E10,($AF10)/2))^2)/4,0)+IF(($F10)&gt;MAX($E10,($AF10)),((($F10))^2-(MAX($E10,($AF10)))^2)/2,0))/(($F10)-($E10))))</f>
        <v/>
      </c>
      <c r="AC10" s="9">
        <f>IF(($AK10)&lt;=0,((0)+($AI10))/2,IF(($AI10)&lt;=(0),IF(($AK10)&lt;=0,(0),IF((0)&gt;=($AK10),(0),IF((0)&gt;=($AK10)/2,(0)*((0)+($AK10))/(2*($AK10)),3*(0)^2/(2*($AK10))))),(IF(MIN($AI10,($AK10)/2)&gt;(0),((MIN($AI10,($AK10)/2))^3-((0))^3)/(2*($AK10)),0)+IF(MIN($AI10,($AK10))&gt;MAX(0,($AK10)/2),((MIN($AI10,($AK10)))^3-(MAX(0,($AK10)/2))^3)/(6*($AK10))+((MIN($AI10,($AK10)))^2-(MAX(0,($AK10)/2))^2)/4,0)+IF(($AI10)&gt;MAX(0,($AK10)),((($AI10))^2-(MAX(0,($AK10)))^2)/2,0))/(($AI10)-(0))))</f>
        <v/>
      </c>
      <c r="AD10" s="9">
        <f>$AC10*$W10*$AA10*$Z10*IF($AM10="",1,$AM10)</f>
        <v/>
      </c>
      <c r="AE10" s="10">
        <f>IF(($H10="锐"),'参数区'!$B$4,'参数区'!$B$5)</f>
        <v/>
      </c>
      <c r="AF10" s="10">
        <f>$AE10*(1-$G10)</f>
        <v/>
      </c>
      <c r="AG10" s="10">
        <f>IF(($H10="锐"),'参数区'!$B$7,'参数区'!$B$8)</f>
        <v/>
      </c>
      <c r="AH10" s="10">
        <f>$AG10*(1-$G10)</f>
        <v/>
      </c>
      <c r="AI10" s="10">
        <f>IF(($AH10)&lt;=0,(($E10)+($F10))/2,IF(($F10)&lt;=($E10),IF(($AH10)&lt;=0,($E10),IF(($E10)&gt;=($AH10),($E10),IF(($E10)&gt;=($AH10)/2,($E10)*(($E10)+($AH10))/(2*($AH10)),3*($E10)^2/(2*($AH10))))),(IF(MIN($F10,($AH10)/2)&gt;($E10),((MIN($F10,($AH10)/2))^3-(($E10))^3)/(2*($AH10)),0)+IF(MIN($F10,($AH10))&gt;MAX($E10,($AH10)/2),((MIN($F10,($AH10)))^3-(MAX($E10,($AH10)/2))^3)/(6*($AH10))+((MIN($F10,($AH10)))^2-(MAX($E10,($AH10)/2))^2)/4,0)+IF(($F10)&gt;MAX($E10,($AH10)),((($F10))^2-(MAX($E10,($AH10)))^2)/2,0))/(($F10)-($E10))))</f>
        <v/>
      </c>
      <c r="AJ10" s="10">
        <f>IF(($H10="锐"),'参数区'!$B$9,'参数区'!$B$10)</f>
        <v/>
      </c>
      <c r="AK10" s="10">
        <f>$AJ10*(1-$G10)</f>
        <v/>
      </c>
      <c r="AL10" s="18" t="n">
        <v>2.5</v>
      </c>
      <c r="AM10" t="n">
        <v>1</v>
      </c>
      <c r="AN10" t="inlineStr">
        <is>
          <t>—</t>
        </is>
      </c>
      <c r="AO10">
        <f>IF($AN10="—",0,MAX(1,IF($J10="",1,$J10)))</f>
        <v/>
      </c>
      <c r="AP10" s="39" t="n">
        <v>130</v>
      </c>
      <c r="AQ10" s="39" t="n">
        <v>1.6</v>
      </c>
    </row>
    <row r="11">
      <c r="A11" s="7" t="inlineStr">
        <is>
          <t>破甲锤</t>
        </is>
      </c>
      <c r="B11" s="8" t="inlineStr">
        <is>
          <t>近战钝器，穿透35%(破甲专精)，重型双手</t>
        </is>
      </c>
      <c r="C11" s="7" t="inlineStr">
        <is>
          <t>否</t>
        </is>
      </c>
      <c r="D11" s="7" t="inlineStr">
        <is>
          <t>双手</t>
        </is>
      </c>
      <c r="E11" s="7" t="n">
        <v>20</v>
      </c>
      <c r="F11" s="7" t="n">
        <v>28</v>
      </c>
      <c r="G11" s="7" t="n">
        <v>0.35</v>
      </c>
      <c r="H11" s="7" t="inlineStr">
        <is>
          <t>钝</t>
        </is>
      </c>
      <c r="I11" s="7" t="n">
        <v>4.5</v>
      </c>
      <c r="J11" s="7" t="n">
        <v>1</v>
      </c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8" t="n"/>
      <c r="U11" s="9">
        <f>IF($I11&gt;0,$I11/IF($D11="双手",1.15,IF($D11="双持",1.4,1)),0)</f>
        <v/>
      </c>
      <c r="V11" s="9">
        <f>$U11+((IF($J11="",1,$J11))-1)*(IF($K11="",0,$K11))</f>
        <v/>
      </c>
      <c r="W11" s="9">
        <f>IF($V11&gt;0,(IF($J11="",1,$J11))/$V11,0)</f>
        <v/>
      </c>
      <c r="X11" s="9">
        <f>($E11+$F11)/2</f>
        <v/>
      </c>
      <c r="Y11" s="9">
        <f>$X11*$W11*IF($AM11="",1,$AM11)</f>
        <v/>
      </c>
      <c r="Z11" s="9">
        <f>IF(NOT(($C11="是")),1,IF($M11&lt;=0,1,IF('参数区'!$B$13&gt;$M11,0,IF(OR('参数区'!$B$13&lt;=$N11,$M11&lt;=$N11),1,1-('参数区'!$B$13-$N11)/($M11-$N11)*(1-$O11)))))</f>
        <v/>
      </c>
      <c r="AA11" s="9">
        <f>IF(NOT(($C11="是")),1,IF((IF($D11="双持",$L11*1.25,$L11))&lt;=0,1,MIN(1,DEGREES(ATAN(('参数区'!$B$14/2)/'参数区'!$B$13))/(IF($D11="双持",$L11*1.25,$L11)))))</f>
        <v/>
      </c>
      <c r="AB11" s="9">
        <f>IF(($AF11)&lt;=0,(($E11)+($F11))/2,IF(($F11)&lt;=($E11),IF(($AF11)&lt;=0,($E11),IF(($E11)&gt;=($AF11),($E11),IF(($E11)&gt;=($AF11)/2,($E11)*(($E11)+($AF11))/(2*($AF11)),3*($E11)^2/(2*($AF11))))),(IF(MIN($F11,($AF11)/2)&gt;($E11),((MIN($F11,($AF11)/2))^3-(($E11))^3)/(2*($AF11)),0)+IF(MIN($F11,($AF11))&gt;MAX($E11,($AF11)/2),((MIN($F11,($AF11)))^3-(MAX($E11,($AF11)/2))^3)/(6*($AF11))+((MIN($F11,($AF11)))^2-(MAX($E11,($AF11)/2))^2)/4,0)+IF(($F11)&gt;MAX($E11,($AF11)),((($F11))^2-(MAX($E11,($AF11)))^2)/2,0))/(($F11)-($E11))))</f>
        <v/>
      </c>
      <c r="AC11" s="9">
        <f>IF(($AK11)&lt;=0,((0)+($AI11))/2,IF(($AI11)&lt;=(0),IF(($AK11)&lt;=0,(0),IF((0)&gt;=($AK11),(0),IF((0)&gt;=($AK11)/2,(0)*((0)+($AK11))/(2*($AK11)),3*(0)^2/(2*($AK11))))),(IF(MIN($AI11,($AK11)/2)&gt;(0),((MIN($AI11,($AK11)/2))^3-((0))^3)/(2*($AK11)),0)+IF(MIN($AI11,($AK11))&gt;MAX(0,($AK11)/2),((MIN($AI11,($AK11)))^3-(MAX(0,($AK11)/2))^3)/(6*($AK11))+((MIN($AI11,($AK11)))^2-(MAX(0,($AK11)/2))^2)/4,0)+IF(($AI11)&gt;MAX(0,($AK11)),((($AI11))^2-(MAX(0,($AK11)))^2)/2,0))/(($AI11)-(0))))</f>
        <v/>
      </c>
      <c r="AD11" s="9">
        <f>$AC11*$W11*$AA11*$Z11*IF($AM11="",1,$AM11)</f>
        <v/>
      </c>
      <c r="AE11" s="10">
        <f>IF(($H11="锐"),'参数区'!$B$4,'参数区'!$B$5)</f>
        <v/>
      </c>
      <c r="AF11" s="10">
        <f>$AE11*(1-$G11)</f>
        <v/>
      </c>
      <c r="AG11" s="10">
        <f>IF(($H11="锐"),'参数区'!$B$7,'参数区'!$B$8)</f>
        <v/>
      </c>
      <c r="AH11" s="10">
        <f>$AG11*(1-$G11)</f>
        <v/>
      </c>
      <c r="AI11" s="10">
        <f>IF(($AH11)&lt;=0,(($E11)+($F11))/2,IF(($F11)&lt;=($E11),IF(($AH11)&lt;=0,($E11),IF(($E11)&gt;=($AH11),($E11),IF(($E11)&gt;=($AH11)/2,($E11)*(($E11)+($AH11))/(2*($AH11)),3*($E11)^2/(2*($AH11))))),(IF(MIN($F11,($AH11)/2)&gt;($E11),((MIN($F11,($AH11)/2))^3-(($E11))^3)/(2*($AH11)),0)+IF(MIN($F11,($AH11))&gt;MAX($E11,($AH11)/2),((MIN($F11,($AH11)))^3-(MAX($E11,($AH11)/2))^3)/(6*($AH11))+((MIN($F11,($AH11)))^2-(MAX($E11,($AH11)/2))^2)/4,0)+IF(($F11)&gt;MAX($E11,($AH11)),((($F11))^2-(MAX($E11,($AH11)))^2)/2,0))/(($F11)-($E11))))</f>
        <v/>
      </c>
      <c r="AJ11" s="10">
        <f>IF(($H11="锐"),'参数区'!$B$9,'参数区'!$B$10)</f>
        <v/>
      </c>
      <c r="AK11" s="10">
        <f>$AJ11*(1-$G11)</f>
        <v/>
      </c>
      <c r="AL11" s="18" t="n">
        <v>5</v>
      </c>
      <c r="AM11" t="n">
        <v>1</v>
      </c>
      <c r="AN11" t="inlineStr">
        <is>
          <t>—</t>
        </is>
      </c>
      <c r="AO11">
        <f>IF($AN11="—",0,MAX(1,IF($J11="",1,$J11)))</f>
        <v/>
      </c>
      <c r="AP11" s="39" t="n">
        <v>150</v>
      </c>
      <c r="AQ11" s="39" t="n">
        <v>2</v>
      </c>
    </row>
    <row r="12">
      <c r="A12" s="7" t="inlineStr">
        <is>
          <t>自制猎枪</t>
        </is>
      </c>
      <c r="B12" s="8" t="inlineStr">
        <is>
          <t>远程锐器，双手长枪，穿透25%；玩家唯一能自己制作的枪（配方：卡尺精工+《土法化学笔记》）</t>
        </is>
      </c>
      <c r="C12" s="7" t="inlineStr">
        <is>
          <t>是</t>
        </is>
      </c>
      <c r="D12" s="7" t="inlineStr">
        <is>
          <t>双手</t>
        </is>
      </c>
      <c r="E12" s="7" t="n">
        <v>4</v>
      </c>
      <c r="F12" s="7" t="n">
        <v>16</v>
      </c>
      <c r="G12" s="7" t="n">
        <v>0.25</v>
      </c>
      <c r="H12" s="7" t="inlineStr">
        <is>
          <t>锐</t>
        </is>
      </c>
      <c r="I12" s="7" t="n">
        <v>3.5</v>
      </c>
      <c r="J12" s="7" t="n">
        <v>1</v>
      </c>
      <c r="K12" s="7" t="n"/>
      <c r="L12" s="7" t="n">
        <v>5</v>
      </c>
      <c r="M12" s="7" t="n">
        <v>260</v>
      </c>
      <c r="N12" s="7" t="n">
        <v>90</v>
      </c>
      <c r="O12" s="7" t="n">
        <v>0.45</v>
      </c>
      <c r="P12" s="7" t="n">
        <v>5</v>
      </c>
      <c r="Q12" s="7" t="n">
        <v>9</v>
      </c>
      <c r="R12" s="7" t="n">
        <v>1.6</v>
      </c>
      <c r="S12" s="7" t="n">
        <v>0.03</v>
      </c>
      <c r="T12" s="8" t="inlineStr">
        <is>
          <t>可制作（配方 improvised_hunting_gun：金属锭2+木料2+机械零件2，工时240分）</t>
        </is>
      </c>
      <c r="U12" s="9">
        <f>IF($I12&gt;0,$I12/IF($D12="双手",1.15,IF($D12="双持",1.4,1)),0)</f>
        <v/>
      </c>
      <c r="V12" s="9">
        <f>$U12+((IF($J12="",1,$J12))-1)*(IF($K12="",0,$K12))</f>
        <v/>
      </c>
      <c r="W12" s="9">
        <f>IF($V12&gt;0,(IF($J12="",1,$J12))/$V12,0)</f>
        <v/>
      </c>
      <c r="X12" s="9">
        <f>($E12+$F12)/2</f>
        <v/>
      </c>
      <c r="Y12" s="9">
        <f>$X12*$W12*IF($AM12="",1,$AM12)</f>
        <v/>
      </c>
      <c r="Z12" s="9">
        <f>IF(NOT(($C12="是")),1,IF($M12&lt;=0,1,IF('参数区'!$B$13&gt;$M12,0,IF(OR('参数区'!$B$13&lt;=$N12,$M12&lt;=$N12),1,1-('参数区'!$B$13-$N12)/($M12-$N12)*(1-$O12)))))</f>
        <v/>
      </c>
      <c r="AA12" s="9">
        <f>IF(NOT(($C12="是")),1,IF((IF($D12="双持",$L12*1.25,$L12))&lt;=0,1,MIN(1,DEGREES(ATAN(('参数区'!$B$14/2)/'参数区'!$B$13))/(IF($D12="双持",$L12*1.25,$L12)))))</f>
        <v/>
      </c>
      <c r="AB12" s="9">
        <f>IF(($AF12)&lt;=0,(($E12)+($F12))/2,IF(($F12)&lt;=($E12),IF(($AF12)&lt;=0,($E12),IF(($E12)&gt;=($AF12),($E12),IF(($E12)&gt;=($AF12)/2,($E12)*(($E12)+($AF12))/(2*($AF12)),3*($E12)^2/(2*($AF12))))),(IF(MIN($F12,($AF12)/2)&gt;($E12),((MIN($F12,($AF12)/2))^3-(($E12))^3)/(2*($AF12)),0)+IF(MIN($F12,($AF12))&gt;MAX($E12,($AF12)/2),((MIN($F12,($AF12)))^3-(MAX($E12,($AF12)/2))^3)/(6*($AF12))+((MIN($F12,($AF12)))^2-(MAX($E12,($AF12)/2))^2)/4,0)+IF(($F12)&gt;MAX($E12,($AF12)),((($F12))^2-(MAX($E12,($AF12)))^2)/2,0))/(($F12)-($E12))))</f>
        <v/>
      </c>
      <c r="AC12" s="9">
        <f>IF(($AK12)&lt;=0,((0)+($AI12))/2,IF(($AI12)&lt;=(0),IF(($AK12)&lt;=0,(0),IF((0)&gt;=($AK12),(0),IF((0)&gt;=($AK12)/2,(0)*((0)+($AK12))/(2*($AK12)),3*(0)^2/(2*($AK12))))),(IF(MIN($AI12,($AK12)/2)&gt;(0),((MIN($AI12,($AK12)/2))^3-((0))^3)/(2*($AK12)),0)+IF(MIN($AI12,($AK12))&gt;MAX(0,($AK12)/2),((MIN($AI12,($AK12)))^3-(MAX(0,($AK12)/2))^3)/(6*($AK12))+((MIN($AI12,($AK12)))^2-(MAX(0,($AK12)/2))^2)/4,0)+IF(($AI12)&gt;MAX(0,($AK12)),((($AI12))^2-(MAX(0,($AK12)))^2)/2,0))/(($AI12)-(0))))</f>
        <v/>
      </c>
      <c r="AD12" s="9">
        <f>$AC12*$W12*$AA12*$Z12*IF($AM12="",1,$AM12)</f>
        <v/>
      </c>
      <c r="AE12" s="10">
        <f>IF(($H12="锐"),'参数区'!$B$4,'参数区'!$B$5)</f>
        <v/>
      </c>
      <c r="AF12" s="10">
        <f>$AE12*(1-$G12)</f>
        <v/>
      </c>
      <c r="AG12" s="10">
        <f>IF(($H12="锐"),'参数区'!$B$7,'参数区'!$B$8)</f>
        <v/>
      </c>
      <c r="AH12" s="10">
        <f>$AG12*(1-$G12)</f>
        <v/>
      </c>
      <c r="AI12" s="10">
        <f>IF(($AH12)&lt;=0,(($E12)+($F12))/2,IF(($F12)&lt;=($E12),IF(($AH12)&lt;=0,($E12),IF(($E12)&gt;=($AH12),($E12),IF(($E12)&gt;=($AH12)/2,($E12)*(($E12)+($AH12))/(2*($AH12)),3*($E12)^2/(2*($AH12))))),(IF(MIN($F12,($AH12)/2)&gt;($E12),((MIN($F12,($AH12)/2))^3-(($E12))^3)/(2*($AH12)),0)+IF(MIN($F12,($AH12))&gt;MAX($E12,($AH12)/2),((MIN($F12,($AH12)))^3-(MAX($E12,($AH12)/2))^3)/(6*($AH12))+((MIN($F12,($AH12)))^2-(MAX($E12,($AH12)/2))^2)/4,0)+IF(($F12)&gt;MAX($E12,($AH12)),((($F12))^2-(MAX($E12,($AH12)))^2)/2,0))/(($F12)-($E12))))</f>
        <v/>
      </c>
      <c r="AJ12" s="10">
        <f>IF(($H12="锐"),'参数区'!$B$9,'参数区'!$B$10)</f>
        <v/>
      </c>
      <c r="AK12" s="10">
        <f>$AJ12*(1-$G12)</f>
        <v/>
      </c>
      <c r="AL12" s="18" t="n">
        <v>1.5</v>
      </c>
      <c r="AM12" t="n">
        <v>1</v>
      </c>
      <c r="AN12" t="inlineStr">
        <is>
          <t>中子弹</t>
        </is>
      </c>
      <c r="AO12">
        <f>IF($AN12="—",0,MAX(1,IF($J12="",1,$J12)))</f>
        <v/>
      </c>
      <c r="AP12" s="40" t="n">
        <v>450</v>
      </c>
      <c r="AQ12" s="40" t="n">
        <v>1</v>
      </c>
    </row>
    <row r="13">
      <c r="A13" s="7" t="inlineStr">
        <is>
          <t>手枪</t>
        </is>
      </c>
      <c r="B13" s="8" t="inlineStr">
        <is>
          <t>远程锐器，穿透15%，可双持</t>
        </is>
      </c>
      <c r="C13" s="7" t="inlineStr">
        <is>
          <t>是</t>
        </is>
      </c>
      <c r="D13" s="7" t="inlineStr">
        <is>
          <t>单手</t>
        </is>
      </c>
      <c r="E13" s="7" t="n">
        <v>8</v>
      </c>
      <c r="F13" s="7" t="n">
        <v>14</v>
      </c>
      <c r="G13" s="7" t="n">
        <v>0.15</v>
      </c>
      <c r="H13" s="7" t="inlineStr">
        <is>
          <t>锐</t>
        </is>
      </c>
      <c r="I13" s="7" t="n">
        <v>2</v>
      </c>
      <c r="J13" s="7" t="n">
        <v>1</v>
      </c>
      <c r="K13" s="7" t="n"/>
      <c r="L13" s="7" t="n">
        <v>3</v>
      </c>
      <c r="M13" s="7" t="n">
        <v>200</v>
      </c>
      <c r="N13" s="7" t="n">
        <v>55</v>
      </c>
      <c r="O13" s="7" t="n">
        <v>0.5</v>
      </c>
      <c r="P13" s="7" t="n">
        <v>3</v>
      </c>
      <c r="Q13" s="7" t="n">
        <v>6</v>
      </c>
      <c r="R13" s="7" t="n">
        <v>1.2</v>
      </c>
      <c r="S13" s="7" t="n">
        <v>0.02</v>
      </c>
      <c r="T13" s="8" t="inlineStr">
        <is>
          <t>可双持</t>
        </is>
      </c>
      <c r="U13" s="9">
        <f>IF($I13&gt;0,$I13/IF($D13="双手",1.15,IF($D13="双持",1.4,1)),0)</f>
        <v/>
      </c>
      <c r="V13" s="9">
        <f>$U13+((IF($J13="",1,$J13))-1)*(IF($K13="",0,$K13))</f>
        <v/>
      </c>
      <c r="W13" s="9">
        <f>IF($V13&gt;0,(IF($J13="",1,$J13))/$V13,0)</f>
        <v/>
      </c>
      <c r="X13" s="9">
        <f>($E13+$F13)/2</f>
        <v/>
      </c>
      <c r="Y13" s="9">
        <f>$X13*$W13*IF($AM13="",1,$AM13)</f>
        <v/>
      </c>
      <c r="Z13" s="9">
        <f>IF(NOT(($C13="是")),1,IF($M13&lt;=0,1,IF('参数区'!$B$13&gt;$M13,0,IF(OR('参数区'!$B$13&lt;=$N13,$M13&lt;=$N13),1,1-('参数区'!$B$13-$N13)/($M13-$N13)*(1-$O13)))))</f>
        <v/>
      </c>
      <c r="AA13" s="9">
        <f>IF(NOT(($C13="是")),1,IF((IF($D13="双持",$L13*1.25,$L13))&lt;=0,1,MIN(1,DEGREES(ATAN(('参数区'!$B$14/2)/'参数区'!$B$13))/(IF($D13="双持",$L13*1.25,$L13)))))</f>
        <v/>
      </c>
      <c r="AB13" s="9">
        <f>IF(($AF13)&lt;=0,(($E13)+($F13))/2,IF(($F13)&lt;=($E13),IF(($AF13)&lt;=0,($E13),IF(($E13)&gt;=($AF13),($E13),IF(($E13)&gt;=($AF13)/2,($E13)*(($E13)+($AF13))/(2*($AF13)),3*($E13)^2/(2*($AF13))))),(IF(MIN($F13,($AF13)/2)&gt;($E13),((MIN($F13,($AF13)/2))^3-(($E13))^3)/(2*($AF13)),0)+IF(MIN($F13,($AF13))&gt;MAX($E13,($AF13)/2),((MIN($F13,($AF13)))^3-(MAX($E13,($AF13)/2))^3)/(6*($AF13))+((MIN($F13,($AF13)))^2-(MAX($E13,($AF13)/2))^2)/4,0)+IF(($F13)&gt;MAX($E13,($AF13)),((($F13))^2-(MAX($E13,($AF13)))^2)/2,0))/(($F13)-($E13))))</f>
        <v/>
      </c>
      <c r="AC13" s="9">
        <f>IF(($AK13)&lt;=0,((0)+($AI13))/2,IF(($AI13)&lt;=(0),IF(($AK13)&lt;=0,(0),IF((0)&gt;=($AK13),(0),IF((0)&gt;=($AK13)/2,(0)*((0)+($AK13))/(2*($AK13)),3*(0)^2/(2*($AK13))))),(IF(MIN($AI13,($AK13)/2)&gt;(0),((MIN($AI13,($AK13)/2))^3-((0))^3)/(2*($AK13)),0)+IF(MIN($AI13,($AK13))&gt;MAX(0,($AK13)/2),((MIN($AI13,($AK13)))^3-(MAX(0,($AK13)/2))^3)/(6*($AK13))+((MIN($AI13,($AK13)))^2-(MAX(0,($AK13)/2))^2)/4,0)+IF(($AI13)&gt;MAX(0,($AK13)),((($AI13))^2-(MAX(0,($AK13)))^2)/2,0))/(($AI13)-(0))))</f>
        <v/>
      </c>
      <c r="AD13" s="9">
        <f>$AC13*$W13*$AA13*$Z13*IF($AM13="",1,$AM13)</f>
        <v/>
      </c>
      <c r="AE13" s="10">
        <f>IF(($H13="锐"),'参数区'!$B$4,'参数区'!$B$5)</f>
        <v/>
      </c>
      <c r="AF13" s="10">
        <f>$AE13*(1-$G13)</f>
        <v/>
      </c>
      <c r="AG13" s="10">
        <f>IF(($H13="锐"),'参数区'!$B$7,'参数区'!$B$8)</f>
        <v/>
      </c>
      <c r="AH13" s="10">
        <f>$AG13*(1-$G13)</f>
        <v/>
      </c>
      <c r="AI13" s="10">
        <f>IF(($AH13)&lt;=0,(($E13)+($F13))/2,IF(($F13)&lt;=($E13),IF(($AH13)&lt;=0,($E13),IF(($E13)&gt;=($AH13),($E13),IF(($E13)&gt;=($AH13)/2,($E13)*(($E13)+($AH13))/(2*($AH13)),3*($E13)^2/(2*($AH13))))),(IF(MIN($F13,($AH13)/2)&gt;($E13),((MIN($F13,($AH13)/2))^3-(($E13))^3)/(2*($AH13)),0)+IF(MIN($F13,($AH13))&gt;MAX($E13,($AH13)/2),((MIN($F13,($AH13)))^3-(MAX($E13,($AH13)/2))^3)/(6*($AH13))+((MIN($F13,($AH13)))^2-(MAX($E13,($AH13)/2))^2)/4,0)+IF(($F13)&gt;MAX($E13,($AH13)),((($F13))^2-(MAX($E13,($AH13)))^2)/2,0))/(($F13)-($E13))))</f>
        <v/>
      </c>
      <c r="AJ13" s="10">
        <f>IF(($H13="锐"),'参数区'!$B$9,'参数区'!$B$10)</f>
        <v/>
      </c>
      <c r="AK13" s="10">
        <f>$AJ13*(1-$G13)</f>
        <v/>
      </c>
      <c r="AL13" s="18" t="n">
        <v>1</v>
      </c>
      <c r="AM13" t="n">
        <v>1</v>
      </c>
      <c r="AN13" t="inlineStr">
        <is>
          <t>短子弹</t>
        </is>
      </c>
      <c r="AO13">
        <f>IF($AN13="—",0,MAX(1,IF($J13="",1,$J13)))</f>
        <v/>
      </c>
      <c r="AP13" s="40" t="n">
        <v>350</v>
      </c>
      <c r="AQ13" s="40" t="n">
        <v>1</v>
      </c>
    </row>
    <row r="14">
      <c r="A14" s="7" t="inlineStr">
        <is>
          <t>冲锋枪</t>
        </is>
      </c>
      <c r="B14" s="8" t="inlineStr">
        <is>
          <t>远程锐器，三连发，双手抵肩</t>
        </is>
      </c>
      <c r="C14" s="7" t="inlineStr">
        <is>
          <t>是</t>
        </is>
      </c>
      <c r="D14" s="7" t="inlineStr">
        <is>
          <t>双手</t>
        </is>
      </c>
      <c r="E14" s="7" t="n">
        <v>10</v>
      </c>
      <c r="F14" s="7" t="n">
        <v>18</v>
      </c>
      <c r="G14" s="7" t="n">
        <v>0.18</v>
      </c>
      <c r="H14" s="7" t="inlineStr">
        <is>
          <t>锐</t>
        </is>
      </c>
      <c r="I14" s="7" t="n">
        <v>2.6</v>
      </c>
      <c r="J14" s="7" t="n">
        <v>3</v>
      </c>
      <c r="K14" s="7" t="n">
        <v>0.06</v>
      </c>
      <c r="L14" s="7" t="n">
        <v>6</v>
      </c>
      <c r="M14" s="7" t="n">
        <v>280</v>
      </c>
      <c r="N14" s="7" t="n">
        <v>70</v>
      </c>
      <c r="O14" s="7" t="n">
        <v>0.45</v>
      </c>
      <c r="P14" s="7" t="n">
        <v>4</v>
      </c>
      <c r="Q14" s="7" t="n">
        <v>7</v>
      </c>
      <c r="R14" s="7" t="n">
        <v>1.3</v>
      </c>
      <c r="S14" s="7" t="n">
        <v>0.02</v>
      </c>
      <c r="T14" s="8" t="inlineStr">
        <is>
          <t>可双持;三连发</t>
        </is>
      </c>
      <c r="U14" s="9">
        <f>IF($I14&gt;0,$I14/IF($D14="双手",1.15,IF($D14="双持",1.4,1)),0)</f>
        <v/>
      </c>
      <c r="V14" s="9">
        <f>$U14+((IF($J14="",1,$J14))-1)*(IF($K14="",0,$K14))</f>
        <v/>
      </c>
      <c r="W14" s="9">
        <f>IF($V14&gt;0,(IF($J14="",1,$J14))/$V14,0)</f>
        <v/>
      </c>
      <c r="X14" s="9">
        <f>($E14+$F14)/2</f>
        <v/>
      </c>
      <c r="Y14" s="9">
        <f>$X14*$W14*IF($AM14="",1,$AM14)</f>
        <v/>
      </c>
      <c r="Z14" s="9">
        <f>IF(NOT(($C14="是")),1,IF($M14&lt;=0,1,IF('参数区'!$B$13&gt;$M14,0,IF(OR('参数区'!$B$13&lt;=$N14,$M14&lt;=$N14),1,1-('参数区'!$B$13-$N14)/($M14-$N14)*(1-$O14)))))</f>
        <v/>
      </c>
      <c r="AA14" s="9">
        <f>IF(NOT(($C14="是")),1,IF((IF($D14="双持",$L14*1.25,$L14))&lt;=0,1,MIN(1,DEGREES(ATAN(('参数区'!$B$14/2)/'参数区'!$B$13))/(IF($D14="双持",$L14*1.25,$L14)))))</f>
        <v/>
      </c>
      <c r="AB14" s="9">
        <f>IF(($AF14)&lt;=0,(($E14)+($F14))/2,IF(($F14)&lt;=($E14),IF(($AF14)&lt;=0,($E14),IF(($E14)&gt;=($AF14),($E14),IF(($E14)&gt;=($AF14)/2,($E14)*(($E14)+($AF14))/(2*($AF14)),3*($E14)^2/(2*($AF14))))),(IF(MIN($F14,($AF14)/2)&gt;($E14),((MIN($F14,($AF14)/2))^3-(($E14))^3)/(2*($AF14)),0)+IF(MIN($F14,($AF14))&gt;MAX($E14,($AF14)/2),((MIN($F14,($AF14)))^3-(MAX($E14,($AF14)/2))^3)/(6*($AF14))+((MIN($F14,($AF14)))^2-(MAX($E14,($AF14)/2))^2)/4,0)+IF(($F14)&gt;MAX($E14,($AF14)),((($F14))^2-(MAX($E14,($AF14)))^2)/2,0))/(($F14)-($E14))))</f>
        <v/>
      </c>
      <c r="AC14" s="9">
        <f>IF(($AK14)&lt;=0,((0)+($AI14))/2,IF(($AI14)&lt;=(0),IF(($AK14)&lt;=0,(0),IF((0)&gt;=($AK14),(0),IF((0)&gt;=($AK14)/2,(0)*((0)+($AK14))/(2*($AK14)),3*(0)^2/(2*($AK14))))),(IF(MIN($AI14,($AK14)/2)&gt;(0),((MIN($AI14,($AK14)/2))^3-((0))^3)/(2*($AK14)),0)+IF(MIN($AI14,($AK14))&gt;MAX(0,($AK14)/2),((MIN($AI14,($AK14)))^3-(MAX(0,($AK14)/2))^3)/(6*($AK14))+((MIN($AI14,($AK14)))^2-(MAX(0,($AK14)/2))^2)/4,0)+IF(($AI14)&gt;MAX(0,($AK14)),((($AI14))^2-(MAX(0,($AK14)))^2)/2,0))/(($AI14)-(0))))</f>
        <v/>
      </c>
      <c r="AD14" s="9">
        <f>$AC14*$W14*$AA14*$Z14*IF($AM14="",1,$AM14)</f>
        <v/>
      </c>
      <c r="AE14" s="10">
        <f>IF(($H14="锐"),'参数区'!$B$4,'参数区'!$B$5)</f>
        <v/>
      </c>
      <c r="AF14" s="10">
        <f>$AE14*(1-$G14)</f>
        <v/>
      </c>
      <c r="AG14" s="10">
        <f>IF(($H14="锐"),'参数区'!$B$7,'参数区'!$B$8)</f>
        <v/>
      </c>
      <c r="AH14" s="10">
        <f>$AG14*(1-$G14)</f>
        <v/>
      </c>
      <c r="AI14" s="10">
        <f>IF(($AH14)&lt;=0,(($E14)+($F14))/2,IF(($F14)&lt;=($E14),IF(($AH14)&lt;=0,($E14),IF(($E14)&gt;=($AH14),($E14),IF(($E14)&gt;=($AH14)/2,($E14)*(($E14)+($AH14))/(2*($AH14)),3*($E14)^2/(2*($AH14))))),(IF(MIN($F14,($AH14)/2)&gt;($E14),((MIN($F14,($AH14)/2))^3-(($E14))^3)/(2*($AH14)),0)+IF(MIN($F14,($AH14))&gt;MAX($E14,($AH14)/2),((MIN($F14,($AH14)))^3-(MAX($E14,($AH14)/2))^3)/(6*($AH14))+((MIN($F14,($AH14)))^2-(MAX($E14,($AH14)/2))^2)/4,0)+IF(($F14)&gt;MAX($E14,($AH14)),((($F14))^2-(MAX($E14,($AH14)))^2)/2,0))/(($F14)-($E14))))</f>
        <v/>
      </c>
      <c r="AJ14" s="10">
        <f>IF(($H14="锐"),'参数区'!$B$9,'参数区'!$B$10)</f>
        <v/>
      </c>
      <c r="AK14" s="10">
        <f>$AJ14*(1-$G14)</f>
        <v/>
      </c>
      <c r="AL14" s="18" t="n">
        <v>3</v>
      </c>
      <c r="AM14" t="n">
        <v>1</v>
      </c>
      <c r="AN14" t="inlineStr">
        <is>
          <t>短子弹</t>
        </is>
      </c>
      <c r="AO14">
        <f>IF($AN14="—",0,MAX(1,IF($J14="",1,$J14)))</f>
        <v/>
      </c>
      <c r="AP14" s="40" t="n">
        <v>500</v>
      </c>
      <c r="AQ14" s="40" t="n">
        <v>1</v>
      </c>
    </row>
    <row r="15">
      <c r="A15" s="7" t="inlineStr">
        <is>
          <t>步枪</t>
        </is>
      </c>
      <c r="B15" s="8" t="inlineStr">
        <is>
          <t>军用远程锐器，穿透21%，双手抵肩</t>
        </is>
      </c>
      <c r="C15" s="7" t="inlineStr">
        <is>
          <t>是</t>
        </is>
      </c>
      <c r="D15" s="7" t="inlineStr">
        <is>
          <t>双手</t>
        </is>
      </c>
      <c r="E15" s="7" t="n">
        <v>20</v>
      </c>
      <c r="F15" s="7" t="n">
        <v>35</v>
      </c>
      <c r="G15" s="7" t="n">
        <v>0.4</v>
      </c>
      <c r="H15" s="7" t="inlineStr">
        <is>
          <t>锐</t>
        </is>
      </c>
      <c r="I15" s="7" t="n">
        <v>2.8</v>
      </c>
      <c r="J15" s="7" t="n">
        <v>2</v>
      </c>
      <c r="K15" s="7" t="n">
        <v>0.08</v>
      </c>
      <c r="L15" s="7" t="n">
        <v>2</v>
      </c>
      <c r="M15" s="7" t="n">
        <v>550</v>
      </c>
      <c r="N15" s="7" t="n">
        <v>200</v>
      </c>
      <c r="O15" s="7" t="n">
        <v>0.6</v>
      </c>
      <c r="P15" s="7" t="n">
        <v>6</v>
      </c>
      <c r="Q15" s="7" t="n">
        <v>10</v>
      </c>
      <c r="R15" s="7" t="n">
        <v>1.5</v>
      </c>
      <c r="S15" s="7" t="n">
        <v>0.03</v>
      </c>
      <c r="T15" s="8" t="n"/>
      <c r="U15" s="9">
        <f>IF($I15&gt;0,$I15/IF($D15="双手",1.15,IF($D15="双持",1.4,1)),0)</f>
        <v/>
      </c>
      <c r="V15" s="9">
        <f>$U15+((IF($J15="",1,$J15))-1)*(IF($K15="",0,$K15))</f>
        <v/>
      </c>
      <c r="W15" s="9">
        <f>IF($V15&gt;0,(IF($J15="",1,$J15))/$V15,0)</f>
        <v/>
      </c>
      <c r="X15" s="9">
        <f>($E15+$F15)/2</f>
        <v/>
      </c>
      <c r="Y15" s="9">
        <f>$X15*$W15*IF($AM15="",1,$AM15)</f>
        <v/>
      </c>
      <c r="Z15" s="9">
        <f>IF(NOT(($C15="是")),1,IF($M15&lt;=0,1,IF('参数区'!$B$13&gt;$M15,0,IF(OR('参数区'!$B$13&lt;=$N15,$M15&lt;=$N15),1,1-('参数区'!$B$13-$N15)/($M15-$N15)*(1-$O15)))))</f>
        <v/>
      </c>
      <c r="AA15" s="9">
        <f>IF(NOT(($C15="是")),1,IF((IF($D15="双持",$L15*1.25,$L15))&lt;=0,1,MIN(1,DEGREES(ATAN(('参数区'!$B$14/2)/'参数区'!$B$13))/(IF($D15="双持",$L15*1.25,$L15)))))</f>
        <v/>
      </c>
      <c r="AB15" s="9">
        <f>IF(($AF15)&lt;=0,(($E15)+($F15))/2,IF(($F15)&lt;=($E15),IF(($AF15)&lt;=0,($E15),IF(($E15)&gt;=($AF15),($E15),IF(($E15)&gt;=($AF15)/2,($E15)*(($E15)+($AF15))/(2*($AF15)),3*($E15)^2/(2*($AF15))))),(IF(MIN($F15,($AF15)/2)&gt;($E15),((MIN($F15,($AF15)/2))^3-(($E15))^3)/(2*($AF15)),0)+IF(MIN($F15,($AF15))&gt;MAX($E15,($AF15)/2),((MIN($F15,($AF15)))^3-(MAX($E15,($AF15)/2))^3)/(6*($AF15))+((MIN($F15,($AF15)))^2-(MAX($E15,($AF15)/2))^2)/4,0)+IF(($F15)&gt;MAX($E15,($AF15)),((($F15))^2-(MAX($E15,($AF15)))^2)/2,0))/(($F15)-($E15))))</f>
        <v/>
      </c>
      <c r="AC15" s="9">
        <f>IF(($AK15)&lt;=0,((0)+($AI15))/2,IF(($AI15)&lt;=(0),IF(($AK15)&lt;=0,(0),IF((0)&gt;=($AK15),(0),IF((0)&gt;=($AK15)/2,(0)*((0)+($AK15))/(2*($AK15)),3*(0)^2/(2*($AK15))))),(IF(MIN($AI15,($AK15)/2)&gt;(0),((MIN($AI15,($AK15)/2))^3-((0))^3)/(2*($AK15)),0)+IF(MIN($AI15,($AK15))&gt;MAX(0,($AK15)/2),((MIN($AI15,($AK15)))^3-(MAX(0,($AK15)/2))^3)/(6*($AK15))+((MIN($AI15,($AK15)))^2-(MAX(0,($AK15)/2))^2)/4,0)+IF(($AI15)&gt;MAX(0,($AK15)),((($AI15))^2-(MAX(0,($AK15)))^2)/2,0))/(($AI15)-(0))))</f>
        <v/>
      </c>
      <c r="AD15" s="9">
        <f>$AC15*$W15*$AA15*$Z15*IF($AM15="",1,$AM15)</f>
        <v/>
      </c>
      <c r="AE15" s="10">
        <f>IF(($H15="锐"),'参数区'!$B$4,'参数区'!$B$5)</f>
        <v/>
      </c>
      <c r="AF15" s="10">
        <f>$AE15*(1-$G15)</f>
        <v/>
      </c>
      <c r="AG15" s="10">
        <f>IF(($H15="锐"),'参数区'!$B$7,'参数区'!$B$8)</f>
        <v/>
      </c>
      <c r="AH15" s="10">
        <f>$AG15*(1-$G15)</f>
        <v/>
      </c>
      <c r="AI15" s="10">
        <f>IF(($AH15)&lt;=0,(($E15)+($F15))/2,IF(($F15)&lt;=($E15),IF(($AH15)&lt;=0,($E15),IF(($E15)&gt;=($AH15),($E15),IF(($E15)&gt;=($AH15)/2,($E15)*(($E15)+($AH15))/(2*($AH15)),3*($E15)^2/(2*($AH15))))),(IF(MIN($F15,($AH15)/2)&gt;($E15),((MIN($F15,($AH15)/2))^3-(($E15))^3)/(2*($AH15)),0)+IF(MIN($F15,($AH15))&gt;MAX($E15,($AH15)/2),((MIN($F15,($AH15)))^3-(MAX($E15,($AH15)/2))^3)/(6*($AH15))+((MIN($F15,($AH15)))^2-(MAX($E15,($AH15)/2))^2)/4,0)+IF(($F15)&gt;MAX($E15,($AH15)),((($F15))^2-(MAX($E15,($AH15)))^2)/2,0))/(($F15)-($E15))))</f>
        <v/>
      </c>
      <c r="AJ15" s="10">
        <f>IF(($H15="锐"),'参数区'!$B$9,'参数区'!$B$10)</f>
        <v/>
      </c>
      <c r="AK15" s="10">
        <f>$AJ15*(1-$G15)</f>
        <v/>
      </c>
      <c r="AL15" s="18" t="n">
        <v>4</v>
      </c>
      <c r="AM15" t="n">
        <v>1</v>
      </c>
      <c r="AN15" t="inlineStr">
        <is>
          <t>中子弹</t>
        </is>
      </c>
      <c r="AO15">
        <f>IF($AN15="—",0,MAX(1,IF($J15="",1,$J15)))</f>
        <v/>
      </c>
      <c r="AP15" s="40" t="n">
        <v>600</v>
      </c>
      <c r="AQ15" s="40" t="n">
        <v>1</v>
      </c>
    </row>
    <row r="16">
      <c r="A16" s="7" t="inlineStr">
        <is>
          <t>栓动猎枪</t>
        </is>
      </c>
      <c r="B16" s="8" t="inlineStr">
        <is>
          <t>民用远程锐器，栓动慢冷却，数值介于步枪与土制枪</t>
        </is>
      </c>
      <c r="C16" s="7" t="inlineStr">
        <is>
          <t>是</t>
        </is>
      </c>
      <c r="D16" s="7" t="inlineStr">
        <is>
          <t>双手</t>
        </is>
      </c>
      <c r="E16" s="7" t="n">
        <v>16</v>
      </c>
      <c r="F16" s="7" t="n">
        <v>28</v>
      </c>
      <c r="G16" s="7" t="n">
        <v>0.16</v>
      </c>
      <c r="H16" s="7" t="inlineStr">
        <is>
          <t>锐</t>
        </is>
      </c>
      <c r="I16" s="7" t="n">
        <v>4.5</v>
      </c>
      <c r="J16" s="7" t="n">
        <v>1</v>
      </c>
      <c r="K16" s="7" t="n"/>
      <c r="L16" s="7" t="n">
        <v>3</v>
      </c>
      <c r="M16" s="7" t="n">
        <v>420</v>
      </c>
      <c r="N16" s="7" t="n">
        <v>160</v>
      </c>
      <c r="O16" s="7" t="n">
        <v>0.55</v>
      </c>
      <c r="P16" s="7" t="n">
        <v>6</v>
      </c>
      <c r="Q16" s="7" t="n">
        <v>10</v>
      </c>
      <c r="R16" s="7" t="n">
        <v>1.6</v>
      </c>
      <c r="S16" s="7" t="n">
        <v>0.03</v>
      </c>
      <c r="T16" s="8" t="inlineStr">
        <is>
          <t>新增</t>
        </is>
      </c>
      <c r="U16" s="9">
        <f>IF($I16&gt;0,$I16/IF($D16="双手",1.15,IF($D16="双持",1.4,1)),0)</f>
        <v/>
      </c>
      <c r="V16" s="9">
        <f>$U16+((IF($J16="",1,$J16))-1)*(IF($K16="",0,$K16))</f>
        <v/>
      </c>
      <c r="W16" s="9">
        <f>IF($V16&gt;0,(IF($J16="",1,$J16))/$V16,0)</f>
        <v/>
      </c>
      <c r="X16" s="9">
        <f>($E16+$F16)/2</f>
        <v/>
      </c>
      <c r="Y16" s="9">
        <f>$X16*$W16*IF($AM16="",1,$AM16)</f>
        <v/>
      </c>
      <c r="Z16" s="9">
        <f>IF(NOT(($C16="是")),1,IF($M16&lt;=0,1,IF('参数区'!$B$13&gt;$M16,0,IF(OR('参数区'!$B$13&lt;=$N16,$M16&lt;=$N16),1,1-('参数区'!$B$13-$N16)/($M16-$N16)*(1-$O16)))))</f>
        <v/>
      </c>
      <c r="AA16" s="9">
        <f>IF(NOT(($C16="是")),1,IF((IF($D16="双持",$L16*1.25,$L16))&lt;=0,1,MIN(1,DEGREES(ATAN(('参数区'!$B$14/2)/'参数区'!$B$13))/(IF($D16="双持",$L16*1.25,$L16)))))</f>
        <v/>
      </c>
      <c r="AB16" s="9">
        <f>IF(($AF16)&lt;=0,(($E16)+($F16))/2,IF(($F16)&lt;=($E16),IF(($AF16)&lt;=0,($E16),IF(($E16)&gt;=($AF16),($E16),IF(($E16)&gt;=($AF16)/2,($E16)*(($E16)+($AF16))/(2*($AF16)),3*($E16)^2/(2*($AF16))))),(IF(MIN($F16,($AF16)/2)&gt;($E16),((MIN($F16,($AF16)/2))^3-(($E16))^3)/(2*($AF16)),0)+IF(MIN($F16,($AF16))&gt;MAX($E16,($AF16)/2),((MIN($F16,($AF16)))^3-(MAX($E16,($AF16)/2))^3)/(6*($AF16))+((MIN($F16,($AF16)))^2-(MAX($E16,($AF16)/2))^2)/4,0)+IF(($F16)&gt;MAX($E16,($AF16)),((($F16))^2-(MAX($E16,($AF16)))^2)/2,0))/(($F16)-($E16))))</f>
        <v/>
      </c>
      <c r="AC16" s="9">
        <f>IF(($AK16)&lt;=0,((0)+($AI16))/2,IF(($AI16)&lt;=(0),IF(($AK16)&lt;=0,(0),IF((0)&gt;=($AK16),(0),IF((0)&gt;=($AK16)/2,(0)*((0)+($AK16))/(2*($AK16)),3*(0)^2/(2*($AK16))))),(IF(MIN($AI16,($AK16)/2)&gt;(0),((MIN($AI16,($AK16)/2))^3-((0))^3)/(2*($AK16)),0)+IF(MIN($AI16,($AK16))&gt;MAX(0,($AK16)/2),((MIN($AI16,($AK16)))^3-(MAX(0,($AK16)/2))^3)/(6*($AK16))+((MIN($AI16,($AK16)))^2-(MAX(0,($AK16)/2))^2)/4,0)+IF(($AI16)&gt;MAX(0,($AK16)),((($AI16))^2-(MAX(0,($AK16)))^2)/2,0))/(($AI16)-(0))))</f>
        <v/>
      </c>
      <c r="AD16" s="9">
        <f>$AC16*$W16*$AA16*$Z16*IF($AM16="",1,$AM16)</f>
        <v/>
      </c>
      <c r="AE16" s="10">
        <f>IF(($H16="锐"),'参数区'!$B$4,'参数区'!$B$5)</f>
        <v/>
      </c>
      <c r="AF16" s="10">
        <f>$AE16*(1-$G16)</f>
        <v/>
      </c>
      <c r="AG16" s="10">
        <f>IF(($H16="锐"),'参数区'!$B$7,'参数区'!$B$8)</f>
        <v/>
      </c>
      <c r="AH16" s="10">
        <f>$AG16*(1-$G16)</f>
        <v/>
      </c>
      <c r="AI16" s="10">
        <f>IF(($AH16)&lt;=0,(($E16)+($F16))/2,IF(($F16)&lt;=($E16),IF(($AH16)&lt;=0,($E16),IF(($E16)&gt;=($AH16),($E16),IF(($E16)&gt;=($AH16)/2,($E16)*(($E16)+($AH16))/(2*($AH16)),3*($E16)^2/(2*($AH16))))),(IF(MIN($F16,($AH16)/2)&gt;($E16),((MIN($F16,($AH16)/2))^3-(($E16))^3)/(2*($AH16)),0)+IF(MIN($F16,($AH16))&gt;MAX($E16,($AH16)/2),((MIN($F16,($AH16)))^3-(MAX($E16,($AH16)/2))^3)/(6*($AH16))+((MIN($F16,($AH16)))^2-(MAX($E16,($AH16)/2))^2)/4,0)+IF(($F16)&gt;MAX($E16,($AH16)),((($F16))^2-(MAX($E16,($AH16)))^2)/2,0))/(($F16)-($E16))))</f>
        <v/>
      </c>
      <c r="AJ16" s="10">
        <f>IF(($H16="锐"),'参数区'!$B$9,'参数区'!$B$10)</f>
        <v/>
      </c>
      <c r="AK16" s="10">
        <f>$AJ16*(1-$G16)</f>
        <v/>
      </c>
      <c r="AL16" s="18" t="n">
        <v>3.5</v>
      </c>
      <c r="AM16" t="n">
        <v>1</v>
      </c>
      <c r="AN16" t="inlineStr">
        <is>
          <t>中子弹</t>
        </is>
      </c>
      <c r="AO16">
        <f>IF($AN16="—",0,MAX(1,IF($J16="",1,$J16)))</f>
        <v/>
      </c>
      <c r="AP16" s="40" t="n">
        <v>550</v>
      </c>
      <c r="AQ16" s="40" t="n">
        <v>1</v>
      </c>
    </row>
    <row r="17">
      <c r="A17" s="7" t="inlineStr">
        <is>
          <t>狙击枪</t>
        </is>
      </c>
      <c r="B17" s="8" t="inlineStr">
        <is>
          <t>远程锐器，穿透70%，碾压多层甲</t>
        </is>
      </c>
      <c r="C17" s="7" t="inlineStr">
        <is>
          <t>是</t>
        </is>
      </c>
      <c r="D17" s="7" t="inlineStr">
        <is>
          <t>双手</t>
        </is>
      </c>
      <c r="E17" s="7" t="n">
        <v>40</v>
      </c>
      <c r="F17" s="7" t="n">
        <v>70</v>
      </c>
      <c r="G17" s="7" t="n">
        <v>0.7</v>
      </c>
      <c r="H17" s="7" t="inlineStr">
        <is>
          <t>锐</t>
        </is>
      </c>
      <c r="I17" s="7" t="n">
        <v>5</v>
      </c>
      <c r="J17" s="7" t="n">
        <v>1</v>
      </c>
      <c r="K17" s="7" t="n"/>
      <c r="L17" s="7" t="n">
        <v>0.5</v>
      </c>
      <c r="M17" s="7" t="n">
        <v>900</v>
      </c>
      <c r="N17" s="7" t="n">
        <v>450</v>
      </c>
      <c r="O17" s="7" t="n">
        <v>0.8</v>
      </c>
      <c r="P17" s="7" t="n">
        <v>6</v>
      </c>
      <c r="Q17" s="7" t="n">
        <v>11</v>
      </c>
      <c r="R17" s="7" t="n">
        <v>1.6</v>
      </c>
      <c r="S17" s="7" t="n">
        <v>0.03</v>
      </c>
      <c r="T17" s="8" t="inlineStr">
        <is>
          <t>弹药稀缺约束</t>
        </is>
      </c>
      <c r="U17" s="9">
        <f>IF($I17&gt;0,$I17/IF($D17="双手",1.15,IF($D17="双持",1.4,1)),0)</f>
        <v/>
      </c>
      <c r="V17" s="9">
        <f>$U17+((IF($J17="",1,$J17))-1)*(IF($K17="",0,$K17))</f>
        <v/>
      </c>
      <c r="W17" s="9">
        <f>IF($V17&gt;0,(IF($J17="",1,$J17))/$V17,0)</f>
        <v/>
      </c>
      <c r="X17" s="9">
        <f>($E17+$F17)/2</f>
        <v/>
      </c>
      <c r="Y17" s="9">
        <f>$X17*$W17*IF($AM17="",1,$AM17)</f>
        <v/>
      </c>
      <c r="Z17" s="9">
        <f>IF(NOT(($C17="是")),1,IF($M17&lt;=0,1,IF('参数区'!$B$13&gt;$M17,0,IF(OR('参数区'!$B$13&lt;=$N17,$M17&lt;=$N17),1,1-('参数区'!$B$13-$N17)/($M17-$N17)*(1-$O17)))))</f>
        <v/>
      </c>
      <c r="AA17" s="9">
        <f>IF(NOT(($C17="是")),1,IF((IF($D17="双持",$L17*1.25,$L17))&lt;=0,1,MIN(1,DEGREES(ATAN(('参数区'!$B$14/2)/'参数区'!$B$13))/(IF($D17="双持",$L17*1.25,$L17)))))</f>
        <v/>
      </c>
      <c r="AB17" s="9">
        <f>IF(($AF17)&lt;=0,(($E17)+($F17))/2,IF(($F17)&lt;=($E17),IF(($AF17)&lt;=0,($E17),IF(($E17)&gt;=($AF17),($E17),IF(($E17)&gt;=($AF17)/2,($E17)*(($E17)+($AF17))/(2*($AF17)),3*($E17)^2/(2*($AF17))))),(IF(MIN($F17,($AF17)/2)&gt;($E17),((MIN($F17,($AF17)/2))^3-(($E17))^3)/(2*($AF17)),0)+IF(MIN($F17,($AF17))&gt;MAX($E17,($AF17)/2),((MIN($F17,($AF17)))^3-(MAX($E17,($AF17)/2))^3)/(6*($AF17))+((MIN($F17,($AF17)))^2-(MAX($E17,($AF17)/2))^2)/4,0)+IF(($F17)&gt;MAX($E17,($AF17)),((($F17))^2-(MAX($E17,($AF17)))^2)/2,0))/(($F17)-($E17))))</f>
        <v/>
      </c>
      <c r="AC17" s="9">
        <f>IF(($AK17)&lt;=0,((0)+($AI17))/2,IF(($AI17)&lt;=(0),IF(($AK17)&lt;=0,(0),IF((0)&gt;=($AK17),(0),IF((0)&gt;=($AK17)/2,(0)*((0)+($AK17))/(2*($AK17)),3*(0)^2/(2*($AK17))))),(IF(MIN($AI17,($AK17)/2)&gt;(0),((MIN($AI17,($AK17)/2))^3-((0))^3)/(2*($AK17)),0)+IF(MIN($AI17,($AK17))&gt;MAX(0,($AK17)/2),((MIN($AI17,($AK17)))^3-(MAX(0,($AK17)/2))^3)/(6*($AK17))+((MIN($AI17,($AK17)))^2-(MAX(0,($AK17)/2))^2)/4,0)+IF(($AI17)&gt;MAX(0,($AK17)),((($AI17))^2-(MAX(0,($AK17)))^2)/2,0))/(($AI17)-(0))))</f>
        <v/>
      </c>
      <c r="AD17" s="9">
        <f>$AC17*$W17*$AA17*$Z17*IF($AM17="",1,$AM17)</f>
        <v/>
      </c>
      <c r="AE17" s="10">
        <f>IF(($H17="锐"),'参数区'!$B$4,'参数区'!$B$5)</f>
        <v/>
      </c>
      <c r="AF17" s="10">
        <f>$AE17*(1-$G17)</f>
        <v/>
      </c>
      <c r="AG17" s="10">
        <f>IF(($H17="锐"),'参数区'!$B$7,'参数区'!$B$8)</f>
        <v/>
      </c>
      <c r="AH17" s="10">
        <f>$AG17*(1-$G17)</f>
        <v/>
      </c>
      <c r="AI17" s="10">
        <f>IF(($AH17)&lt;=0,(($E17)+($F17))/2,IF(($F17)&lt;=($E17),IF(($AH17)&lt;=0,($E17),IF(($E17)&gt;=($AH17),($E17),IF(($E17)&gt;=($AH17)/2,($E17)*(($E17)+($AH17))/(2*($AH17)),3*($E17)^2/(2*($AH17))))),(IF(MIN($F17,($AH17)/2)&gt;($E17),((MIN($F17,($AH17)/2))^3-(($E17))^3)/(2*($AH17)),0)+IF(MIN($F17,($AH17))&gt;MAX($E17,($AH17)/2),((MIN($F17,($AH17)))^3-(MAX($E17,($AH17)/2))^3)/(6*($AH17))+((MIN($F17,($AH17)))^2-(MAX($E17,($AH17)/2))^2)/4,0)+IF(($F17)&gt;MAX($E17,($AH17)),((($F17))^2-(MAX($E17,($AH17)))^2)/2,0))/(($F17)-($E17))))</f>
        <v/>
      </c>
      <c r="AJ17" s="10">
        <f>IF(($H17="锐"),'参数区'!$B$9,'参数区'!$B$10)</f>
        <v/>
      </c>
      <c r="AK17" s="10">
        <f>$AJ17*(1-$G17)</f>
        <v/>
      </c>
      <c r="AL17" s="18" t="n">
        <v>5.5</v>
      </c>
      <c r="AM17" t="n">
        <v>1</v>
      </c>
      <c r="AN17" t="inlineStr">
        <is>
          <t>长子弹</t>
        </is>
      </c>
      <c r="AO17">
        <f>IF($AN17="—",0,MAX(1,IF($J17="",1,$J17)))</f>
        <v/>
      </c>
      <c r="AP17" s="40" t="n">
        <v>700</v>
      </c>
      <c r="AQ17" s="40" t="n">
        <v>1</v>
      </c>
    </row>
    <row r="18">
      <c r="A18" s="7" t="inlineStr">
        <is>
          <t>自制霰弹枪</t>
        </is>
      </c>
      <c r="B18" s="8" t="inlineStr">
        <is>
          <t>远程锐器，双手；**8 颗弹丸单独计算**（每颗独立选命中部位、独立过护甲三段判定）。穿透仅10% + 单颗低伤 ⇒ 布甲挡下相当一部分、板甲几乎全挡；对无甲/薄衣（丧尸）极强。射程最短、衰减最重、锥形扩散最大——贴脸毁灭性，拉开距离只剩零星几颗命中。</t>
        </is>
      </c>
      <c r="C18" s="7" t="inlineStr">
        <is>
          <t>是</t>
        </is>
      </c>
      <c r="D18" s="7" t="inlineStr">
        <is>
          <t>双手</t>
        </is>
      </c>
      <c r="E18" s="7" t="n">
        <v>1</v>
      </c>
      <c r="F18" s="7" t="n">
        <v>5</v>
      </c>
      <c r="G18" s="7" t="n">
        <v>0.1</v>
      </c>
      <c r="H18" s="7" t="inlineStr">
        <is>
          <t>锐</t>
        </is>
      </c>
      <c r="I18" s="7" t="n">
        <v>4</v>
      </c>
      <c r="J18" s="7" t="n">
        <v>1</v>
      </c>
      <c r="K18" s="7" t="n"/>
      <c r="L18" s="7" t="n">
        <v>18</v>
      </c>
      <c r="M18" s="7" t="n">
        <v>90</v>
      </c>
      <c r="N18" s="7" t="n">
        <v>18</v>
      </c>
      <c r="O18" s="7" t="n">
        <v>0.2</v>
      </c>
      <c r="P18" s="7" t="n">
        <v>4</v>
      </c>
      <c r="Q18" s="7" t="n">
        <v>7</v>
      </c>
      <c r="R18" s="7" t="n">
        <v>1.5</v>
      </c>
      <c r="S18" s="7" t="n">
        <v>0.02</v>
      </c>
      <c r="T18" s="8" t="inlineStr">
        <is>
          <t>可制作（废金属4＋木料2＋机械零件1＋火药1，需卡尺工作台＋读过《土法化学笔记》，工时100分）；吃「霰弹」弹药，一次扣扳机烧掉 1 发壳（不是 8 发）</t>
        </is>
      </c>
      <c r="U18" s="9">
        <f>IF($I18&gt;0,$I18/IF($D18="双手",1.15,IF($D18="双持",1.4,1)),0)</f>
        <v/>
      </c>
      <c r="V18" s="9">
        <f>$U18+((IF($J18="",1,$J18))-1)*(IF($K18="",0,$K18))</f>
        <v/>
      </c>
      <c r="W18" s="9">
        <f>IF($V18&gt;0,(IF($J18="",1,$J18))/$V18,0)</f>
        <v/>
      </c>
      <c r="X18" s="9">
        <f>($E18+$F18)/2</f>
        <v/>
      </c>
      <c r="Y18" s="9">
        <f>$X18*$W18*IF($AM18="",1,$AM18)</f>
        <v/>
      </c>
      <c r="Z18" s="9">
        <f>IF(NOT(($C18="是")),1,IF($M18&lt;=0,1,IF('参数区'!$B$13&gt;$M18,0,IF(OR('参数区'!$B$13&lt;=$N18,$M18&lt;=$N18),1,1-('参数区'!$B$13-$N18)/($M18-$N18)*(1-$O18)))))</f>
        <v/>
      </c>
      <c r="AA18" s="9">
        <f>IF(NOT(($C18="是")),1,IF((IF($D18="双持",$L18*1.25,$L18))&lt;=0,1,MIN(1,DEGREES(ATAN(('参数区'!$B$14/2)/'参数区'!$B$13))/(IF($D18="双持",$L18*1.25,$L18)))))</f>
        <v/>
      </c>
      <c r="AB18" s="9">
        <f>IF(($AF18)&lt;=0,(($E18)+($F18))/2,IF(($F18)&lt;=($E18),IF(($AF18)&lt;=0,($E18),IF(($E18)&gt;=($AF18),($E18),IF(($E18)&gt;=($AF18)/2,($E18)*(($E18)+($AF18))/(2*($AF18)),3*($E18)^2/(2*($AF18))))),(IF(MIN($F18,($AF18)/2)&gt;($E18),((MIN($F18,($AF18)/2))^3-(($E18))^3)/(2*($AF18)),0)+IF(MIN($F18,($AF18))&gt;MAX($E18,($AF18)/2),((MIN($F18,($AF18)))^3-(MAX($E18,($AF18)/2))^3)/(6*($AF18))+((MIN($F18,($AF18)))^2-(MAX($E18,($AF18)/2))^2)/4,0)+IF(($F18)&gt;MAX($E18,($AF18)),((($F18))^2-(MAX($E18,($AF18)))^2)/2,0))/(($F18)-($E18))))</f>
        <v/>
      </c>
      <c r="AC18" s="9">
        <f>IF(($AK18)&lt;=0,((0)+($AI18))/2,IF(($AI18)&lt;=(0),IF(($AK18)&lt;=0,(0),IF((0)&gt;=($AK18),(0),IF((0)&gt;=($AK18)/2,(0)*((0)+($AK18))/(2*($AK18)),3*(0)^2/(2*($AK18))))),(IF(MIN($AI18,($AK18)/2)&gt;(0),((MIN($AI18,($AK18)/2))^3-((0))^3)/(2*($AK18)),0)+IF(MIN($AI18,($AK18))&gt;MAX(0,($AK18)/2),((MIN($AI18,($AK18)))^3-(MAX(0,($AK18)/2))^3)/(6*($AK18))+((MIN($AI18,($AK18)))^2-(MAX(0,($AK18)/2))^2)/4,0)+IF(($AI18)&gt;MAX(0,($AK18)),((($AI18))^2-(MAX(0,($AK18)))^2)/2,0))/(($AI18)-(0))))</f>
        <v/>
      </c>
      <c r="AD18" s="9">
        <f>$AC18*$W18*$AA18*$Z18*IF($AM18="",1,$AM18)</f>
        <v/>
      </c>
      <c r="AE18" s="10">
        <f>IF(($H18="锐"),'参数区'!$B$4,'参数区'!$B$5)</f>
        <v/>
      </c>
      <c r="AF18" s="10">
        <f>$AE18*(1-$G18)</f>
        <v/>
      </c>
      <c r="AG18" s="10">
        <f>IF(($H18="锐"),'参数区'!$B$7,'参数区'!$B$8)</f>
        <v/>
      </c>
      <c r="AH18" s="10">
        <f>$AG18*(1-$G18)</f>
        <v/>
      </c>
      <c r="AI18" s="10">
        <f>IF(($AH18)&lt;=0,(($E18)+($F18))/2,IF(($F18)&lt;=($E18),IF(($AH18)&lt;=0,($E18),IF(($E18)&gt;=($AH18),($E18),IF(($E18)&gt;=($AH18)/2,($E18)*(($E18)+($AH18))/(2*($AH18)),3*($E18)^2/(2*($AH18))))),(IF(MIN($F18,($AH18)/2)&gt;($E18),((MIN($F18,($AH18)/2))^3-(($E18))^3)/(2*($AH18)),0)+IF(MIN($F18,($AH18))&gt;MAX($E18,($AH18)/2),((MIN($F18,($AH18)))^3-(MAX($E18,($AH18)/2))^3)/(6*($AH18))+((MIN($F18,($AH18)))^2-(MAX($E18,($AH18)/2))^2)/4,0)+IF(($F18)&gt;MAX($E18,($AH18)),((($F18))^2-(MAX($E18,($AH18)))^2)/2,0))/(($F18)-($E18))))</f>
        <v/>
      </c>
      <c r="AJ18" s="10">
        <f>IF(($H18="锐"),'参数区'!$B$9,'参数区'!$B$10)</f>
        <v/>
      </c>
      <c r="AK18" s="10">
        <f>$AJ18*(1-$G18)</f>
        <v/>
      </c>
      <c r="AL18" s="18" t="n">
        <v>3.2</v>
      </c>
      <c r="AM18" t="n">
        <v>8</v>
      </c>
      <c r="AN18" t="inlineStr">
        <is>
          <t>鹿弹</t>
        </is>
      </c>
      <c r="AO18">
        <f>IF($AN18="—",0,MAX(1,IF($J18="",1,$J18)))</f>
        <v/>
      </c>
      <c r="AP18" s="40" t="n">
        <v>550</v>
      </c>
      <c r="AQ18" s="40" t="n">
        <v>1</v>
      </c>
    </row>
    <row r="19">
      <c r="A19" s="7" t="inlineStr">
        <is>
          <t>短弓</t>
        </is>
      </c>
      <c r="B19" s="8" t="inlineStr">
        <is>
          <t>入门弓，可制作（木料2+绳1，卡尺+《木匠入门》，120工时）。承接原「自制弓」配方。全部弓里最弱，但最便宜、出手最快</t>
        </is>
      </c>
      <c r="C19" s="7" t="inlineStr">
        <is>
          <t>是</t>
        </is>
      </c>
      <c r="D19" s="7" t="inlineStr">
        <is>
          <t>双手</t>
        </is>
      </c>
      <c r="E19" s="7" t="n">
        <v>1</v>
      </c>
      <c r="F19" s="7" t="n">
        <v>18</v>
      </c>
      <c r="G19" s="7" t="n">
        <v>0.3</v>
      </c>
      <c r="H19" s="7" t="inlineStr">
        <is>
          <t>锐</t>
        </is>
      </c>
      <c r="I19" s="7" t="n">
        <v>3.2</v>
      </c>
      <c r="J19" s="7" t="n">
        <v>1</v>
      </c>
      <c r="K19" s="7" t="n"/>
      <c r="L19" s="7" t="n">
        <v>5</v>
      </c>
      <c r="M19" s="7" t="n">
        <v>220</v>
      </c>
      <c r="N19" s="7" t="n">
        <v>90</v>
      </c>
      <c r="O19" s="7" t="n">
        <v>0.7</v>
      </c>
      <c r="P19" s="7" t="n"/>
      <c r="Q19" s="7" t="n"/>
      <c r="R19" s="7" t="n"/>
      <c r="S19" s="7" t="n"/>
      <c r="T19" s="8" t="inlineStr">
        <is>
          <t>吃箭。贴脸无近战兜底</t>
        </is>
      </c>
      <c r="U19" s="9">
        <f>IF($I19&gt;0,$I19/IF($D19="双手",1.15,IF($D19="双持",1.4,1)),0)</f>
        <v/>
      </c>
      <c r="V19" s="9">
        <f>$U19+((IF($J19="",1,$J19))-1)*(IF($K19="",0,$K19))</f>
        <v/>
      </c>
      <c r="W19" s="9">
        <f>IF($V19&gt;0,(IF($J19="",1,$J19))/$V19,0)</f>
        <v/>
      </c>
      <c r="X19" s="9">
        <f>($E19+$F19)/2</f>
        <v/>
      </c>
      <c r="Y19" s="9">
        <f>$X19*$W19*IF($AM19="",1,$AM19)</f>
        <v/>
      </c>
      <c r="Z19" s="9">
        <f>IF(NOT(($C19="是")),1,IF($M19&lt;=0,1,IF('参数区'!$B$13&gt;$M19,0,IF(OR('参数区'!$B$13&lt;=$N19,$M19&lt;=$N19),1,1-('参数区'!$B$13-$N19)/($M19-$N19)*(1-$O19)))))</f>
        <v/>
      </c>
      <c r="AA19" s="9">
        <f>IF(NOT(($C19="是")),1,IF((IF($D19="双持",$L19*1.25,$L19))&lt;=0,1,MIN(1,DEGREES(ATAN(('参数区'!$B$14/2)/'参数区'!$B$13))/(IF($D19="双持",$L19*1.25,$L19)))))</f>
        <v/>
      </c>
      <c r="AB19" s="9">
        <f>IF(($AF19)&lt;=0,(($E19)+($F19))/2,IF(($F19)&lt;=($E19),IF(($AF19)&lt;=0,($E19),IF(($E19)&gt;=($AF19),($E19),IF(($E19)&gt;=($AF19)/2,($E19)*(($E19)+($AF19))/(2*($AF19)),3*($E19)^2/(2*($AF19))))),(IF(MIN($F19,($AF19)/2)&gt;($E19),((MIN($F19,($AF19)/2))^3-(($E19))^3)/(2*($AF19)),0)+IF(MIN($F19,($AF19))&gt;MAX($E19,($AF19)/2),((MIN($F19,($AF19)))^3-(MAX($E19,($AF19)/2))^3)/(6*($AF19))+((MIN($F19,($AF19)))^2-(MAX($E19,($AF19)/2))^2)/4,0)+IF(($F19)&gt;MAX($E19,($AF19)),((($F19))^2-(MAX($E19,($AF19)))^2)/2,0))/(($F19)-($E19))))</f>
        <v/>
      </c>
      <c r="AC19" s="9">
        <f>IF(($AK19)&lt;=0,((0)+($AI19))/2,IF(($AI19)&lt;=(0),IF(($AK19)&lt;=0,(0),IF((0)&gt;=($AK19),(0),IF((0)&gt;=($AK19)/2,(0)*((0)+($AK19))/(2*($AK19)),3*(0)^2/(2*($AK19))))),(IF(MIN($AI19,($AK19)/2)&gt;(0),((MIN($AI19,($AK19)/2))^3-((0))^3)/(2*($AK19)),0)+IF(MIN($AI19,($AK19))&gt;MAX(0,($AK19)/2),((MIN($AI19,($AK19)))^3-(MAX(0,($AK19)/2))^3)/(6*($AK19))+((MIN($AI19,($AK19)))^2-(MAX(0,($AK19)/2))^2)/4,0)+IF(($AI19)&gt;MAX(0,($AK19)),((($AI19))^2-(MAX(0,($AK19)))^2)/2,0))/(($AI19)-(0))))</f>
        <v/>
      </c>
      <c r="AD19" s="9">
        <f>$AC19*$W19*$AA19*$Z19*IF($AM19="",1,$AM19)</f>
        <v/>
      </c>
      <c r="AE19" s="10">
        <f>IF(($H19="锐"),'参数区'!$B$4,'参数区'!$B$5)</f>
        <v/>
      </c>
      <c r="AF19" s="10">
        <f>$AE19*(1-$G19)</f>
        <v/>
      </c>
      <c r="AG19" s="10">
        <f>IF(($H19="锐"),'参数区'!$B$7,'参数区'!$B$8)</f>
        <v/>
      </c>
      <c r="AH19" s="10">
        <f>$AG19*(1-$G19)</f>
        <v/>
      </c>
      <c r="AI19" s="10">
        <f>IF(($AH19)&lt;=0,(($E19)+($F19))/2,IF(($F19)&lt;=($E19),IF(($AH19)&lt;=0,($E19),IF(($E19)&gt;=($AH19),($E19),IF(($E19)&gt;=($AH19)/2,($E19)*(($E19)+($AH19))/(2*($AH19)),3*($E19)^2/(2*($AH19))))),(IF(MIN($F19,($AH19)/2)&gt;($E19),((MIN($F19,($AH19)/2))^3-(($E19))^3)/(2*($AH19)),0)+IF(MIN($F19,($AH19))&gt;MAX($E19,($AH19)/2),((MIN($F19,($AH19)))^3-(MAX($E19,($AH19)/2))^3)/(6*($AH19))+((MIN($F19,($AH19)))^2-(MAX($E19,($AH19)/2))^2)/4,0)+IF(($F19)&gt;MAX($E19,($AH19)),((($F19))^2-(MAX($E19,($AH19)))^2)/2,0))/(($F19)-($E19))))</f>
        <v/>
      </c>
      <c r="AJ19" s="10">
        <f>IF(($H19="锐"),'参数区'!$B$9,'参数区'!$B$10)</f>
        <v/>
      </c>
      <c r="AK19" s="10">
        <f>$AJ19*(1-$G19)</f>
        <v/>
      </c>
      <c r="AL19" s="18" t="n"/>
      <c r="AM19" t="n">
        <v>1</v>
      </c>
      <c r="AN19" t="inlineStr">
        <is>
          <t>箭</t>
        </is>
      </c>
      <c r="AO19">
        <f>IF($AN19="—",0,MAX(1,IF($J19="",1,$J19)))</f>
        <v/>
      </c>
      <c r="AP19" s="41" t="n">
        <v>70</v>
      </c>
      <c r="AQ19" s="41" t="n">
        <v>0.1</v>
      </c>
    </row>
    <row r="20">
      <c r="A20" s="7" t="inlineStr">
        <is>
          <t>反曲弓</t>
        </is>
      </c>
      <c r="B20" s="8" t="inlineStr">
        <is>
          <t>可制作。标准均衡款——弓臂反曲，同样长度多出几分力道</t>
        </is>
      </c>
      <c r="C20" s="7" t="inlineStr">
        <is>
          <t>是</t>
        </is>
      </c>
      <c r="D20" s="7" t="inlineStr">
        <is>
          <t>双手</t>
        </is>
      </c>
      <c r="E20" s="7" t="n">
        <v>1</v>
      </c>
      <c r="F20" s="7" t="n">
        <v>26</v>
      </c>
      <c r="G20" s="7" t="n">
        <v>0.4</v>
      </c>
      <c r="H20" s="7" t="inlineStr">
        <is>
          <t>锐</t>
        </is>
      </c>
      <c r="I20" s="7" t="n">
        <v>3.8</v>
      </c>
      <c r="J20" s="7" t="n">
        <v>1</v>
      </c>
      <c r="K20" s="7" t="n"/>
      <c r="L20" s="7" t="n">
        <v>4</v>
      </c>
      <c r="M20" s="7" t="n">
        <v>300</v>
      </c>
      <c r="N20" s="7" t="n">
        <v>120</v>
      </c>
      <c r="O20" s="7" t="n">
        <v>0.72</v>
      </c>
      <c r="P20" s="7" t="n"/>
      <c r="Q20" s="7" t="n"/>
      <c r="R20" s="7" t="n"/>
      <c r="S20" s="7" t="n"/>
      <c r="T20" s="8" t="inlineStr">
        <is>
          <t>吃箭。贴脸无近战兜底</t>
        </is>
      </c>
      <c r="U20" s="9">
        <f>IF($I20&gt;0,$I20/IF($D20="双手",1.15,IF($D20="双持",1.4,1)),0)</f>
        <v/>
      </c>
      <c r="V20" s="9">
        <f>$U20+((IF($J20="",1,$J20))-1)*(IF($K20="",0,$K20))</f>
        <v/>
      </c>
      <c r="W20" s="9">
        <f>IF($V20&gt;0,(IF($J20="",1,$J20))/$V20,0)</f>
        <v/>
      </c>
      <c r="X20" s="9">
        <f>($E20+$F20)/2</f>
        <v/>
      </c>
      <c r="Y20" s="9">
        <f>$X20*$W20*IF($AM20="",1,$AM20)</f>
        <v/>
      </c>
      <c r="Z20" s="9">
        <f>IF(NOT(($C20="是")),1,IF($M20&lt;=0,1,IF('参数区'!$B$13&gt;$M20,0,IF(OR('参数区'!$B$13&lt;=$N20,$M20&lt;=$N20),1,1-('参数区'!$B$13-$N20)/($M20-$N20)*(1-$O20)))))</f>
        <v/>
      </c>
      <c r="AA20" s="9">
        <f>IF(NOT(($C20="是")),1,IF((IF($D20="双持",$L20*1.25,$L20))&lt;=0,1,MIN(1,DEGREES(ATAN(('参数区'!$B$14/2)/'参数区'!$B$13))/(IF($D20="双持",$L20*1.25,$L20)))))</f>
        <v/>
      </c>
      <c r="AB20" s="9">
        <f>IF(($AF20)&lt;=0,(($E20)+($F20))/2,IF(($F20)&lt;=($E20),IF(($AF20)&lt;=0,($E20),IF(($E20)&gt;=($AF20),($E20),IF(($E20)&gt;=($AF20)/2,($E20)*(($E20)+($AF20))/(2*($AF20)),3*($E20)^2/(2*($AF20))))),(IF(MIN($F20,($AF20)/2)&gt;($E20),((MIN($F20,($AF20)/2))^3-(($E20))^3)/(2*($AF20)),0)+IF(MIN($F20,($AF20))&gt;MAX($E20,($AF20)/2),((MIN($F20,($AF20)))^3-(MAX($E20,($AF20)/2))^3)/(6*($AF20))+((MIN($F20,($AF20)))^2-(MAX($E20,($AF20)/2))^2)/4,0)+IF(($F20)&gt;MAX($E20,($AF20)),((($F20))^2-(MAX($E20,($AF20)))^2)/2,0))/(($F20)-($E20))))</f>
        <v/>
      </c>
      <c r="AC20" s="9">
        <f>IF(($AK20)&lt;=0,((0)+($AI20))/2,IF(($AI20)&lt;=(0),IF(($AK20)&lt;=0,(0),IF((0)&gt;=($AK20),(0),IF((0)&gt;=($AK20)/2,(0)*((0)+($AK20))/(2*($AK20)),3*(0)^2/(2*($AK20))))),(IF(MIN($AI20,($AK20)/2)&gt;(0),((MIN($AI20,($AK20)/2))^3-((0))^3)/(2*($AK20)),0)+IF(MIN($AI20,($AK20))&gt;MAX(0,($AK20)/2),((MIN($AI20,($AK20)))^3-(MAX(0,($AK20)/2))^3)/(6*($AK20))+((MIN($AI20,($AK20)))^2-(MAX(0,($AK20)/2))^2)/4,0)+IF(($AI20)&gt;MAX(0,($AK20)),((($AI20))^2-(MAX(0,($AK20)))^2)/2,0))/(($AI20)-(0))))</f>
        <v/>
      </c>
      <c r="AD20" s="9">
        <f>$AC20*$W20*$AA20*$Z20*IF($AM20="",1,$AM20)</f>
        <v/>
      </c>
      <c r="AE20" s="10">
        <f>IF(($H20="锐"),'参数区'!$B$4,'参数区'!$B$5)</f>
        <v/>
      </c>
      <c r="AF20" s="10">
        <f>$AE20*(1-$G20)</f>
        <v/>
      </c>
      <c r="AG20" s="10">
        <f>IF(($H20="锐"),'参数区'!$B$7,'参数区'!$B$8)</f>
        <v/>
      </c>
      <c r="AH20" s="10">
        <f>$AG20*(1-$G20)</f>
        <v/>
      </c>
      <c r="AI20" s="10">
        <f>IF(($AH20)&lt;=0,(($E20)+($F20))/2,IF(($F20)&lt;=($E20),IF(($AH20)&lt;=0,($E20),IF(($E20)&gt;=($AH20),($E20),IF(($E20)&gt;=($AH20)/2,($E20)*(($E20)+($AH20))/(2*($AH20)),3*($E20)^2/(2*($AH20))))),(IF(MIN($F20,($AH20)/2)&gt;($E20),((MIN($F20,($AH20)/2))^3-(($E20))^3)/(2*($AH20)),0)+IF(MIN($F20,($AH20))&gt;MAX($E20,($AH20)/2),((MIN($F20,($AH20)))^3-(MAX($E20,($AH20)/2))^3)/(6*($AH20))+((MIN($F20,($AH20)))^2-(MAX($E20,($AH20)/2))^2)/4,0)+IF(($F20)&gt;MAX($E20,($AH20)),((($F20))^2-(MAX($E20,($AH20)))^2)/2,0))/(($F20)-($E20))))</f>
        <v/>
      </c>
      <c r="AJ20" s="10">
        <f>IF(($H20="锐"),'参数区'!$B$9,'参数区'!$B$10)</f>
        <v/>
      </c>
      <c r="AK20" s="10">
        <f>$AJ20*(1-$G20)</f>
        <v/>
      </c>
      <c r="AL20" s="18" t="n"/>
      <c r="AM20" t="n">
        <v>1</v>
      </c>
      <c r="AN20" t="inlineStr">
        <is>
          <t>箭</t>
        </is>
      </c>
      <c r="AO20">
        <f>IF($AN20="—",0,MAX(1,IF($J20="",1,$J20)))</f>
        <v/>
      </c>
      <c r="AP20" s="41" t="n">
        <v>70</v>
      </c>
      <c r="AQ20" s="41" t="n">
        <v>0.1</v>
      </c>
    </row>
    <row r="21">
      <c r="A21" s="7" t="inlineStr">
        <is>
          <t>长弓</t>
        </is>
      </c>
      <c r="B21" s="8" t="inlineStr">
        <is>
          <t>可制作。**射程之王**（480，全弓弩最远），代价是拉满费时</t>
        </is>
      </c>
      <c r="C21" s="7" t="inlineStr">
        <is>
          <t>是</t>
        </is>
      </c>
      <c r="D21" s="7" t="inlineStr">
        <is>
          <t>双手</t>
        </is>
      </c>
      <c r="E21" s="7" t="n">
        <v>1</v>
      </c>
      <c r="F21" s="7" t="n">
        <v>34</v>
      </c>
      <c r="G21" s="7" t="n">
        <v>0.5</v>
      </c>
      <c r="H21" s="7" t="inlineStr">
        <is>
          <t>锐</t>
        </is>
      </c>
      <c r="I21" s="7" t="n">
        <v>5</v>
      </c>
      <c r="J21" s="7" t="n">
        <v>1</v>
      </c>
      <c r="K21" s="7" t="n"/>
      <c r="L21" s="7" t="n">
        <v>4.5</v>
      </c>
      <c r="M21" s="7" t="n">
        <v>480</v>
      </c>
      <c r="N21" s="7" t="n">
        <v>200</v>
      </c>
      <c r="O21" s="7" t="n">
        <v>0.78</v>
      </c>
      <c r="P21" s="7" t="n"/>
      <c r="Q21" s="7" t="n"/>
      <c r="R21" s="7" t="n"/>
      <c r="S21" s="7" t="n"/>
      <c r="T21" s="8" t="inlineStr">
        <is>
          <t>可制作（废金属3＋木料2＋机械零件1，需卡尺工作台＋读过《土法化学笔记》，工时150分——全表最好造的枪：就是一根钢管加击针，不用熔炼金属锭）；吃「霰弹」弹药，一次扣扳机烧掉 1 发壳（不是 8 发）</t>
        </is>
      </c>
      <c r="U21" s="9">
        <f>IF($I21&gt;0,$I21/IF($D21="双手",1.15,IF($D21="双持",1.4,1)),0)</f>
        <v/>
      </c>
      <c r="V21" s="9">
        <f>$U21+((IF($J21="",1,$J21))-1)*(IF($K21="",0,$K21))</f>
        <v/>
      </c>
      <c r="W21" s="9">
        <f>IF($V21&gt;0,(IF($J21="",1,$J21))/$V21,0)</f>
        <v/>
      </c>
      <c r="X21" s="9">
        <f>($E21+$F21)/2</f>
        <v/>
      </c>
      <c r="Y21" s="9">
        <f>$X21*$W21*IF($AM21="",1,$AM21)</f>
        <v/>
      </c>
      <c r="Z21" s="9">
        <f>IF(NOT(($C21="是")),1,IF($M21&lt;=0,1,IF('参数区'!$B$13&gt;$M21,0,IF(OR('参数区'!$B$13&lt;=$N21,$M21&lt;=$N21),1,1-('参数区'!$B$13-$N21)/($M21-$N21)*(1-$O21)))))</f>
        <v/>
      </c>
      <c r="AA21" s="9">
        <f>IF(NOT(($C21="是")),1,IF((IF($D21="双持",$L21*1.25,$L21))&lt;=0,1,MIN(1,DEGREES(ATAN(('参数区'!$B$14/2)/'参数区'!$B$13))/(IF($D21="双持",$L21*1.25,$L21)))))</f>
        <v/>
      </c>
      <c r="AB21" s="9">
        <f>IF(($AF21)&lt;=0,(($E21)+($F21))/2,IF(($F21)&lt;=($E21),IF(($AF21)&lt;=0,($E21),IF(($E21)&gt;=($AF21),($E21),IF(($E21)&gt;=($AF21)/2,($E21)*(($E21)+($AF21))/(2*($AF21)),3*($E21)^2/(2*($AF21))))),(IF(MIN($F21,($AF21)/2)&gt;($E21),((MIN($F21,($AF21)/2))^3-(($E21))^3)/(2*($AF21)),0)+IF(MIN($F21,($AF21))&gt;MAX($E21,($AF21)/2),((MIN($F21,($AF21)))^3-(MAX($E21,($AF21)/2))^3)/(6*($AF21))+((MIN($F21,($AF21)))^2-(MAX($E21,($AF21)/2))^2)/4,0)+IF(($F21)&gt;MAX($E21,($AF21)),((($F21))^2-(MAX($E21,($AF21)))^2)/2,0))/(($F21)-($E21))))</f>
        <v/>
      </c>
      <c r="AC21" s="9">
        <f>IF(($AK21)&lt;=0,((0)+($AI21))/2,IF(($AI21)&lt;=(0),IF(($AK21)&lt;=0,(0),IF((0)&gt;=($AK21),(0),IF((0)&gt;=($AK21)/2,(0)*((0)+($AK21))/(2*($AK21)),3*(0)^2/(2*($AK21))))),(IF(MIN($AI21,($AK21)/2)&gt;(0),((MIN($AI21,($AK21)/2))^3-((0))^3)/(2*($AK21)),0)+IF(MIN($AI21,($AK21))&gt;MAX(0,($AK21)/2),((MIN($AI21,($AK21)))^3-(MAX(0,($AK21)/2))^3)/(6*($AK21))+((MIN($AI21,($AK21)))^2-(MAX(0,($AK21)/2))^2)/4,0)+IF(($AI21)&gt;MAX(0,($AK21)),((($AI21))^2-(MAX(0,($AK21)))^2)/2,0))/(($AI21)-(0))))</f>
        <v/>
      </c>
      <c r="AD21" s="9">
        <f>$AC21*$W21*$AA21*$Z21*IF($AM21="",1,$AM21)</f>
        <v/>
      </c>
      <c r="AE21" s="10">
        <f>IF(($H21="锐"),'参数区'!$B$4,'参数区'!$B$5)</f>
        <v/>
      </c>
      <c r="AF21" s="10">
        <f>$AE21*(1-$G21)</f>
        <v/>
      </c>
      <c r="AG21" s="10">
        <f>IF(($H21="锐"),'参数区'!$B$7,'参数区'!$B$8)</f>
        <v/>
      </c>
      <c r="AH21" s="10">
        <f>$AG21*(1-$G21)</f>
        <v/>
      </c>
      <c r="AI21" s="10">
        <f>IF(($AH21)&lt;=0,(($E21)+($F21))/2,IF(($F21)&lt;=($E21),IF(($AH21)&lt;=0,($E21),IF(($E21)&gt;=($AH21),($E21),IF(($E21)&gt;=($AH21)/2,($E21)*(($E21)+($AH21))/(2*($AH21)),3*($E21)^2/(2*($AH21))))),(IF(MIN($F21,($AH21)/2)&gt;($E21),((MIN($F21,($AH21)/2))^3-(($E21))^3)/(2*($AH21)),0)+IF(MIN($F21,($AH21))&gt;MAX($E21,($AH21)/2),((MIN($F21,($AH21)))^3-(MAX($E21,($AH21)/2))^3)/(6*($AH21))+((MIN($F21,($AH21)))^2-(MAX($E21,($AH21)/2))^2)/4,0)+IF(($F21)&gt;MAX($E21,($AH21)),((($F21))^2-(MAX($E21,($AH21)))^2)/2,0))/(($F21)-($E21))))</f>
        <v/>
      </c>
      <c r="AJ21" s="10">
        <f>IF(($H21="锐"),'参数区'!$B$9,'参数区'!$B$10)</f>
        <v/>
      </c>
      <c r="AK21" s="10">
        <f>$AJ21*(1-$G21)</f>
        <v/>
      </c>
      <c r="AL21" s="18" t="n"/>
      <c r="AM21" t="n">
        <v>1</v>
      </c>
      <c r="AN21" t="inlineStr">
        <is>
          <t>箭</t>
        </is>
      </c>
      <c r="AO21">
        <f>IF($AN21="—",0,MAX(1,IF($J21="",1,$J21)))</f>
        <v/>
      </c>
      <c r="AP21" s="41" t="n">
        <v>70</v>
      </c>
      <c r="AQ21" s="41" t="n">
        <v>0.1</v>
      </c>
    </row>
    <row r="22">
      <c r="A22" s="7" t="inlineStr">
        <is>
          <t>竞技复合弓</t>
        </is>
      </c>
      <c r="B22" s="8" t="inlineStr">
        <is>
          <t>**不可制作，只能搜刮**（超市运动区）。**精度之王**（误差角1.5°，比步枪2°还准）。冷却经 Sim 重标定 3.0→3.6：3.0s 时它的DPS反超了「伤害之王」狩猎弓，生态位名不副实——竞技弓的卖点是准，不是快</t>
        </is>
      </c>
      <c r="C22" s="7" t="inlineStr">
        <is>
          <t>是</t>
        </is>
      </c>
      <c r="D22" s="7" t="inlineStr">
        <is>
          <t>双手</t>
        </is>
      </c>
      <c r="E22" s="7" t="n">
        <v>1</v>
      </c>
      <c r="F22" s="7" t="n">
        <v>30</v>
      </c>
      <c r="G22" s="7" t="n">
        <v>0.48</v>
      </c>
      <c r="H22" s="7" t="inlineStr">
        <is>
          <t>锐</t>
        </is>
      </c>
      <c r="I22" s="7" t="n">
        <v>3.6</v>
      </c>
      <c r="J22" s="7" t="n">
        <v>1</v>
      </c>
      <c r="K22" s="7" t="n"/>
      <c r="L22" s="7" t="n">
        <v>1.5</v>
      </c>
      <c r="M22" s="7" t="n">
        <v>380</v>
      </c>
      <c r="N22" s="7" t="n">
        <v>170</v>
      </c>
      <c r="O22" s="7" t="n">
        <v>0.75</v>
      </c>
      <c r="P22" s="7" t="n"/>
      <c r="Q22" s="7" t="n"/>
      <c r="R22" s="7" t="n"/>
      <c r="S22" s="7" t="n"/>
      <c r="T22" s="8" t="inlineStr">
        <is>
          <t>吃箭。贴脸无近战兜底</t>
        </is>
      </c>
      <c r="U22" s="9">
        <f>IF($I22&gt;0,$I22/IF($D22="双手",1.15,IF($D22="双持",1.4,1)),0)</f>
        <v/>
      </c>
      <c r="V22" s="9">
        <f>$U22+((IF($J22="",1,$J22))-1)*(IF($K22="",0,$K22))</f>
        <v/>
      </c>
      <c r="W22" s="9">
        <f>IF($V22&gt;0,(IF($J22="",1,$J22))/$V22,0)</f>
        <v/>
      </c>
      <c r="X22" s="9">
        <f>($E22+$F22)/2</f>
        <v/>
      </c>
      <c r="Y22" s="9">
        <f>$X22*$W22*IF($AM22="",1,$AM22)</f>
        <v/>
      </c>
      <c r="Z22" s="9">
        <f>IF(NOT(($C22="是")),1,IF($M22&lt;=0,1,IF('参数区'!$B$13&gt;$M22,0,IF(OR('参数区'!$B$13&lt;=$N22,$M22&lt;=$N22),1,1-('参数区'!$B$13-$N22)/($M22-$N22)*(1-$O22)))))</f>
        <v/>
      </c>
      <c r="AA22" s="9">
        <f>IF(NOT(($C22="是")),1,IF((IF($D22="双持",$L22*1.25,$L22))&lt;=0,1,MIN(1,DEGREES(ATAN(('参数区'!$B$14/2)/'参数区'!$B$13))/(IF($D22="双持",$L22*1.25,$L22)))))</f>
        <v/>
      </c>
      <c r="AB22" s="9">
        <f>IF(($AF22)&lt;=0,(($E22)+($F22))/2,IF(($F22)&lt;=($E22),IF(($AF22)&lt;=0,($E22),IF(($E22)&gt;=($AF22),($E22),IF(($E22)&gt;=($AF22)/2,($E22)*(($E22)+($AF22))/(2*($AF22)),3*($E22)^2/(2*($AF22))))),(IF(MIN($F22,($AF22)/2)&gt;($E22),((MIN($F22,($AF22)/2))^3-(($E22))^3)/(2*($AF22)),0)+IF(MIN($F22,($AF22))&gt;MAX($E22,($AF22)/2),((MIN($F22,($AF22)))^3-(MAX($E22,($AF22)/2))^3)/(6*($AF22))+((MIN($F22,($AF22)))^2-(MAX($E22,($AF22)/2))^2)/4,0)+IF(($F22)&gt;MAX($E22,($AF22)),((($F22))^2-(MAX($E22,($AF22)))^2)/2,0))/(($F22)-($E22))))</f>
        <v/>
      </c>
      <c r="AC22" s="9">
        <f>IF(($AK22)&lt;=0,((0)+($AI22))/2,IF(($AI22)&lt;=(0),IF(($AK22)&lt;=0,(0),IF((0)&gt;=($AK22),(0),IF((0)&gt;=($AK22)/2,(0)*((0)+($AK22))/(2*($AK22)),3*(0)^2/(2*($AK22))))),(IF(MIN($AI22,($AK22)/2)&gt;(0),((MIN($AI22,($AK22)/2))^3-((0))^3)/(2*($AK22)),0)+IF(MIN($AI22,($AK22))&gt;MAX(0,($AK22)/2),((MIN($AI22,($AK22)))^3-(MAX(0,($AK22)/2))^3)/(6*($AK22))+((MIN($AI22,($AK22)))^2-(MAX(0,($AK22)/2))^2)/4,0)+IF(($AI22)&gt;MAX(0,($AK22)),((($AI22))^2-(MAX(0,($AK22)))^2)/2,0))/(($AI22)-(0))))</f>
        <v/>
      </c>
      <c r="AD22" s="9">
        <f>$AC22*$W22*$AA22*$Z22*IF($AM22="",1,$AM22)</f>
        <v/>
      </c>
      <c r="AE22" s="10">
        <f>IF(($H22="锐"),'参数区'!$B$4,'参数区'!$B$5)</f>
        <v/>
      </c>
      <c r="AF22" s="10">
        <f>$AE22*(1-$G22)</f>
        <v/>
      </c>
      <c r="AG22" s="10">
        <f>IF(($H22="锐"),'参数区'!$B$7,'参数区'!$B$8)</f>
        <v/>
      </c>
      <c r="AH22" s="10">
        <f>$AG22*(1-$G22)</f>
        <v/>
      </c>
      <c r="AI22" s="10">
        <f>IF(($AH22)&lt;=0,(($E22)+($F22))/2,IF(($F22)&lt;=($E22),IF(($AH22)&lt;=0,($E22),IF(($E22)&gt;=($AH22),($E22),IF(($E22)&gt;=($AH22)/2,($E22)*(($E22)+($AH22))/(2*($AH22)),3*($E22)^2/(2*($AH22))))),(IF(MIN($F22,($AH22)/2)&gt;($E22),((MIN($F22,($AH22)/2))^3-(($E22))^3)/(2*($AH22)),0)+IF(MIN($F22,($AH22))&gt;MAX($E22,($AH22)/2),((MIN($F22,($AH22)))^3-(MAX($E22,($AH22)/2))^3)/(6*($AH22))+((MIN($F22,($AH22)))^2-(MAX($E22,($AH22)/2))^2)/4,0)+IF(($F22)&gt;MAX($E22,($AH22)),((($F22))^2-(MAX($E22,($AH22)))^2)/2,0))/(($F22)-($E22))))</f>
        <v/>
      </c>
      <c r="AJ22" s="10">
        <f>IF(($H22="锐"),'参数区'!$B$9,'参数区'!$B$10)</f>
        <v/>
      </c>
      <c r="AK22" s="10">
        <f>$AJ22*(1-$G22)</f>
        <v/>
      </c>
      <c r="AL22" s="18" t="n"/>
      <c r="AM22" t="n">
        <v>1</v>
      </c>
      <c r="AN22" t="inlineStr">
        <is>
          <t>箭</t>
        </is>
      </c>
      <c r="AO22">
        <f>IF($AN22="—",0,MAX(1,IF($J22="",1,$J22)))</f>
        <v/>
      </c>
      <c r="AP22" s="41" t="n">
        <v>65</v>
      </c>
      <c r="AQ22" s="41" t="n">
        <v>0.1</v>
      </c>
    </row>
    <row r="23">
      <c r="A23" s="7" t="inlineStr">
        <is>
          <t>狩猎弓</t>
        </is>
      </c>
      <c r="B23" s="8" t="inlineStr">
        <is>
          <t>**不可制作，只能搜刮**（守林人小屋/河边小屋枪柜）。**伤害之王**（上限38，全弓弩最高）</t>
        </is>
      </c>
      <c r="C23" s="7" t="inlineStr">
        <is>
          <t>是</t>
        </is>
      </c>
      <c r="D23" s="7" t="inlineStr">
        <is>
          <t>双手</t>
        </is>
      </c>
      <c r="E23" s="7" t="n">
        <v>1</v>
      </c>
      <c r="F23" s="7" t="n">
        <v>38</v>
      </c>
      <c r="G23" s="7" t="n">
        <v>0.55</v>
      </c>
      <c r="H23" s="7" t="inlineStr">
        <is>
          <t>锐</t>
        </is>
      </c>
      <c r="I23" s="7" t="n">
        <v>4.2</v>
      </c>
      <c r="J23" s="7" t="n">
        <v>1</v>
      </c>
      <c r="K23" s="7" t="n"/>
      <c r="L23" s="7" t="n">
        <v>3</v>
      </c>
      <c r="M23" s="7" t="n">
        <v>420</v>
      </c>
      <c r="N23" s="7" t="n">
        <v>180</v>
      </c>
      <c r="O23" s="7" t="n">
        <v>0.8</v>
      </c>
      <c r="P23" s="7" t="n"/>
      <c r="Q23" s="7" t="n"/>
      <c r="R23" s="7" t="n"/>
      <c r="S23" s="7" t="n"/>
      <c r="T23" s="8" t="inlineStr">
        <is>
          <t>吃箭。贴脸无近战兜底</t>
        </is>
      </c>
      <c r="U23" s="9">
        <f>IF($I23&gt;0,$I23/IF($D23="双手",1.15,IF($D23="双持",1.4,1)),0)</f>
        <v/>
      </c>
      <c r="V23" s="9">
        <f>$U23+((IF($J23="",1,$J23))-1)*(IF($K23="",0,$K23))</f>
        <v/>
      </c>
      <c r="W23" s="9">
        <f>IF($V23&gt;0,(IF($J23="",1,$J23))/$V23,0)</f>
        <v/>
      </c>
      <c r="X23" s="9">
        <f>($E23+$F23)/2</f>
        <v/>
      </c>
      <c r="Y23" s="9">
        <f>$X23*$W23*IF($AM23="",1,$AM23)</f>
        <v/>
      </c>
      <c r="Z23" s="9">
        <f>IF(NOT(($C23="是")),1,IF($M23&lt;=0,1,IF('参数区'!$B$13&gt;$M23,0,IF(OR('参数区'!$B$13&lt;=$N23,$M23&lt;=$N23),1,1-('参数区'!$B$13-$N23)/($M23-$N23)*(1-$O23)))))</f>
        <v/>
      </c>
      <c r="AA23" s="9">
        <f>IF(NOT(($C23="是")),1,IF((IF($D23="双持",$L23*1.25,$L23))&lt;=0,1,MIN(1,DEGREES(ATAN(('参数区'!$B$14/2)/'参数区'!$B$13))/(IF($D23="双持",$L23*1.25,$L23)))))</f>
        <v/>
      </c>
      <c r="AB23" s="9">
        <f>IF(($AF23)&lt;=0,(($E23)+($F23))/2,IF(($F23)&lt;=($E23),IF(($AF23)&lt;=0,($E23),IF(($E23)&gt;=($AF23),($E23),IF(($E23)&gt;=($AF23)/2,($E23)*(($E23)+($AF23))/(2*($AF23)),3*($E23)^2/(2*($AF23))))),(IF(MIN($F23,($AF23)/2)&gt;($E23),((MIN($F23,($AF23)/2))^3-(($E23))^3)/(2*($AF23)),0)+IF(MIN($F23,($AF23))&gt;MAX($E23,($AF23)/2),((MIN($F23,($AF23)))^3-(MAX($E23,($AF23)/2))^3)/(6*($AF23))+((MIN($F23,($AF23)))^2-(MAX($E23,($AF23)/2))^2)/4,0)+IF(($F23)&gt;MAX($E23,($AF23)),((($F23))^2-(MAX($E23,($AF23)))^2)/2,0))/(($F23)-($E23))))</f>
        <v/>
      </c>
      <c r="AC23" s="9">
        <f>IF(($AK23)&lt;=0,((0)+($AI23))/2,IF(($AI23)&lt;=(0),IF(($AK23)&lt;=0,(0),IF((0)&gt;=($AK23),(0),IF((0)&gt;=($AK23)/2,(0)*((0)+($AK23))/(2*($AK23)),3*(0)^2/(2*($AK23))))),(IF(MIN($AI23,($AK23)/2)&gt;(0),((MIN($AI23,($AK23)/2))^3-((0))^3)/(2*($AK23)),0)+IF(MIN($AI23,($AK23))&gt;MAX(0,($AK23)/2),((MIN($AI23,($AK23)))^3-(MAX(0,($AK23)/2))^3)/(6*($AK23))+((MIN($AI23,($AK23)))^2-(MAX(0,($AK23)/2))^2)/4,0)+IF(($AI23)&gt;MAX(0,($AK23)),((($AI23))^2-(MAX(0,($AK23)))^2)/2,0))/(($AI23)-(0))))</f>
        <v/>
      </c>
      <c r="AD23" s="9">
        <f>$AC23*$W23*$AA23*$Z23*IF($AM23="",1,$AM23)</f>
        <v/>
      </c>
      <c r="AE23" s="10">
        <f>IF(($H23="锐"),'参数区'!$B$4,'参数区'!$B$5)</f>
        <v/>
      </c>
      <c r="AF23" s="10">
        <f>$AE23*(1-$G23)</f>
        <v/>
      </c>
      <c r="AG23" s="10">
        <f>IF(($H23="锐"),'参数区'!$B$7,'参数区'!$B$8)</f>
        <v/>
      </c>
      <c r="AH23" s="10">
        <f>$AG23*(1-$G23)</f>
        <v/>
      </c>
      <c r="AI23" s="10">
        <f>IF(($AH23)&lt;=0,(($E23)+($F23))/2,IF(($F23)&lt;=($E23),IF(($AH23)&lt;=0,($E23),IF(($E23)&gt;=($AH23),($E23),IF(($E23)&gt;=($AH23)/2,($E23)*(($E23)+($AH23))/(2*($AH23)),3*($E23)^2/(2*($AH23))))),(IF(MIN($F23,($AH23)/2)&gt;($E23),((MIN($F23,($AH23)/2))^3-(($E23))^3)/(2*($AH23)),0)+IF(MIN($F23,($AH23))&gt;MAX($E23,($AH23)/2),((MIN($F23,($AH23)))^3-(MAX($E23,($AH23)/2))^3)/(6*($AH23))+((MIN($F23,($AH23)))^2-(MAX($E23,($AH23)/2))^2)/4,0)+IF(($F23)&gt;MAX($E23,($AH23)),((($F23))^2-(MAX($E23,($AH23)))^2)/2,0))/(($F23)-($E23))))</f>
        <v/>
      </c>
      <c r="AJ23" s="10">
        <f>IF(($H23="锐"),'参数区'!$B$9,'参数区'!$B$10)</f>
        <v/>
      </c>
      <c r="AK23" s="10">
        <f>$AJ23*(1-$G23)</f>
        <v/>
      </c>
      <c r="AL23" s="18" t="n"/>
      <c r="AM23" t="n">
        <v>1</v>
      </c>
      <c r="AN23" t="inlineStr">
        <is>
          <t>箭</t>
        </is>
      </c>
      <c r="AO23">
        <f>IF($AN23="—",0,MAX(1,IF($J23="",1,$J23)))</f>
        <v/>
      </c>
      <c r="AP23" s="41" t="n">
        <v>70</v>
      </c>
      <c r="AQ23" s="41" t="n">
        <v>0.1</v>
      </c>
    </row>
    <row r="24">
      <c r="A24" s="7" t="inlineStr">
        <is>
          <t>单手轻弩</t>
        </is>
      </c>
      <c r="B24" s="8" t="inlineStr">
        <is>
          <t>可制作。**唯一单手弓弩、可双持**。扣扳机像开枪一样容易，麻烦的是上弦——弱、慢，但准</t>
        </is>
      </c>
      <c r="C24" s="7" t="inlineStr">
        <is>
          <t>是</t>
        </is>
      </c>
      <c r="D24" s="7" t="inlineStr">
        <is>
          <t>单手</t>
        </is>
      </c>
      <c r="E24" s="7" t="n">
        <v>1</v>
      </c>
      <c r="F24" s="7" t="n">
        <v>16</v>
      </c>
      <c r="G24" s="7" t="n">
        <v>0.35</v>
      </c>
      <c r="H24" s="7" t="inlineStr">
        <is>
          <t>锐</t>
        </is>
      </c>
      <c r="I24" s="7" t="n">
        <v>4</v>
      </c>
      <c r="J24" s="7" t="n">
        <v>1</v>
      </c>
      <c r="K24" s="7" t="n"/>
      <c r="L24" s="7" t="n">
        <v>3</v>
      </c>
      <c r="M24" s="7" t="n">
        <v>180</v>
      </c>
      <c r="N24" s="7" t="n">
        <v>70</v>
      </c>
      <c r="O24" s="7" t="n">
        <v>0.65</v>
      </c>
      <c r="P24" s="7" t="n"/>
      <c r="Q24" s="7" t="n"/>
      <c r="R24" s="7" t="n"/>
      <c r="S24" s="7" t="n"/>
      <c r="T24" s="8" t="inlineStr">
        <is>
          <t>吃箭。可双持。贴脸无近战兜底</t>
        </is>
      </c>
      <c r="U24" s="9">
        <f>IF($I24&gt;0,$I24/IF($D24="双手",1.15,IF($D24="双持",1.4,1)),0)</f>
        <v/>
      </c>
      <c r="V24" s="9">
        <f>$U24+((IF($J24="",1,$J24))-1)*(IF($K24="",0,$K24))</f>
        <v/>
      </c>
      <c r="W24" s="9">
        <f>IF($V24&gt;0,(IF($J24="",1,$J24))/$V24,0)</f>
        <v/>
      </c>
      <c r="X24" s="9">
        <f>($E24+$F24)/2</f>
        <v/>
      </c>
      <c r="Y24" s="9">
        <f>$X24*$W24*IF($AM24="",1,$AM24)</f>
        <v/>
      </c>
      <c r="Z24" s="9">
        <f>IF(NOT(($C24="是")),1,IF($M24&lt;=0,1,IF('参数区'!$B$13&gt;$M24,0,IF(OR('参数区'!$B$13&lt;=$N24,$M24&lt;=$N24),1,1-('参数区'!$B$13-$N24)/($M24-$N24)*(1-$O24)))))</f>
        <v/>
      </c>
      <c r="AA24" s="9">
        <f>IF(NOT(($C24="是")),1,IF((IF($D24="双持",$L24*1.25,$L24))&lt;=0,1,MIN(1,DEGREES(ATAN(('参数区'!$B$14/2)/'参数区'!$B$13))/(IF($D24="双持",$L24*1.25,$L24)))))</f>
        <v/>
      </c>
      <c r="AB24" s="9">
        <f>IF(($AF24)&lt;=0,(($E24)+($F24))/2,IF(($F24)&lt;=($E24),IF(($AF24)&lt;=0,($E24),IF(($E24)&gt;=($AF24),($E24),IF(($E24)&gt;=($AF24)/2,($E24)*(($E24)+($AF24))/(2*($AF24)),3*($E24)^2/(2*($AF24))))),(IF(MIN($F24,($AF24)/2)&gt;($E24),((MIN($F24,($AF24)/2))^3-(($E24))^3)/(2*($AF24)),0)+IF(MIN($F24,($AF24))&gt;MAX($E24,($AF24)/2),((MIN($F24,($AF24)))^3-(MAX($E24,($AF24)/2))^3)/(6*($AF24))+((MIN($F24,($AF24)))^2-(MAX($E24,($AF24)/2))^2)/4,0)+IF(($F24)&gt;MAX($E24,($AF24)),((($F24))^2-(MAX($E24,($AF24)))^2)/2,0))/(($F24)-($E24))))</f>
        <v/>
      </c>
      <c r="AC24" s="9">
        <f>IF(($AK24)&lt;=0,((0)+($AI24))/2,IF(($AI24)&lt;=(0),IF(($AK24)&lt;=0,(0),IF((0)&gt;=($AK24),(0),IF((0)&gt;=($AK24)/2,(0)*((0)+($AK24))/(2*($AK24)),3*(0)^2/(2*($AK24))))),(IF(MIN($AI24,($AK24)/2)&gt;(0),((MIN($AI24,($AK24)/2))^3-((0))^3)/(2*($AK24)),0)+IF(MIN($AI24,($AK24))&gt;MAX(0,($AK24)/2),((MIN($AI24,($AK24)))^3-(MAX(0,($AK24)/2))^3)/(6*($AK24))+((MIN($AI24,($AK24)))^2-(MAX(0,($AK24)/2))^2)/4,0)+IF(($AI24)&gt;MAX(0,($AK24)),((($AI24))^2-(MAX(0,($AK24)))^2)/2,0))/(($AI24)-(0))))</f>
        <v/>
      </c>
      <c r="AD24" s="9">
        <f>$AC24*$W24*$AA24*$Z24*IF($AM24="",1,$AM24)</f>
        <v/>
      </c>
      <c r="AE24" s="10">
        <f>IF(($H24="锐"),'参数区'!$B$4,'参数区'!$B$5)</f>
        <v/>
      </c>
      <c r="AF24" s="10">
        <f>$AE24*(1-$G24)</f>
        <v/>
      </c>
      <c r="AG24" s="10">
        <f>IF(($H24="锐"),'参数区'!$B$7,'参数区'!$B$8)</f>
        <v/>
      </c>
      <c r="AH24" s="10">
        <f>$AG24*(1-$G24)</f>
        <v/>
      </c>
      <c r="AI24" s="10">
        <f>IF(($AH24)&lt;=0,(($E24)+($F24))/2,IF(($F24)&lt;=($E24),IF(($AH24)&lt;=0,($E24),IF(($E24)&gt;=($AH24),($E24),IF(($E24)&gt;=($AH24)/2,($E24)*(($E24)+($AH24))/(2*($AH24)),3*($E24)^2/(2*($AH24))))),(IF(MIN($F24,($AH24)/2)&gt;($E24),((MIN($F24,($AH24)/2))^3-(($E24))^3)/(2*($AH24)),0)+IF(MIN($F24,($AH24))&gt;MAX($E24,($AH24)/2),((MIN($F24,($AH24)))^3-(MAX($E24,($AH24)/2))^3)/(6*($AH24))+((MIN($F24,($AH24)))^2-(MAX($E24,($AH24)/2))^2)/4,0)+IF(($F24)&gt;MAX($E24,($AH24)),((($F24))^2-(MAX($E24,($AH24)))^2)/2,0))/(($F24)-($E24))))</f>
        <v/>
      </c>
      <c r="AJ24" s="10">
        <f>IF(($H24="锐"),'参数区'!$B$9,'参数区'!$B$10)</f>
        <v/>
      </c>
      <c r="AK24" s="10">
        <f>$AJ24*(1-$G24)</f>
        <v/>
      </c>
      <c r="AL24" s="18" t="n"/>
      <c r="AM24" t="n">
        <v>1</v>
      </c>
      <c r="AN24" t="inlineStr">
        <is>
          <t>箭</t>
        </is>
      </c>
      <c r="AO24">
        <f>IF($AN24="—",0,MAX(1,IF($J24="",1,$J24)))</f>
        <v/>
      </c>
      <c r="AP24" s="41" t="n">
        <v>55</v>
      </c>
      <c r="AQ24" s="41" t="n">
        <v>0.1</v>
      </c>
    </row>
    <row r="25">
      <c r="A25" s="7" t="inlineStr">
        <is>
          <t>双手重弩</t>
        </is>
      </c>
      <c r="B25" s="8" t="inlineStr">
        <is>
          <t>可制作。穿透65%（仅次复合弩/狙击枪），冷却6.0s＝**全表最慢**——每分钟只能得罪一个人</t>
        </is>
      </c>
      <c r="C25" s="7" t="inlineStr">
        <is>
          <t>是</t>
        </is>
      </c>
      <c r="D25" s="7" t="inlineStr">
        <is>
          <t>双手</t>
        </is>
      </c>
      <c r="E25" s="7" t="n">
        <v>1</v>
      </c>
      <c r="F25" s="7" t="n">
        <v>36</v>
      </c>
      <c r="G25" s="7" t="n">
        <v>0.65</v>
      </c>
      <c r="H25" s="7" t="inlineStr">
        <is>
          <t>锐</t>
        </is>
      </c>
      <c r="I25" s="7" t="n">
        <v>6</v>
      </c>
      <c r="J25" s="7" t="n">
        <v>1</v>
      </c>
      <c r="K25" s="7" t="n"/>
      <c r="L25" s="7" t="n">
        <v>2.5</v>
      </c>
      <c r="M25" s="7" t="n">
        <v>320</v>
      </c>
      <c r="N25" s="7" t="n">
        <v>140</v>
      </c>
      <c r="O25" s="7" t="n">
        <v>0.75</v>
      </c>
      <c r="P25" s="7" t="n"/>
      <c r="Q25" s="7" t="n"/>
      <c r="R25" s="7" t="n"/>
      <c r="S25" s="7" t="n"/>
      <c r="T25" s="8" t="inlineStr">
        <is>
          <t>吃箭。贴脸无近战兜底</t>
        </is>
      </c>
      <c r="U25" s="9">
        <f>IF($I25&gt;0,$I25/IF($D25="双手",1.15,IF($D25="双持",1.4,1)),0)</f>
        <v/>
      </c>
      <c r="V25" s="9">
        <f>$U25+((IF($J25="",1,$J25))-1)*(IF($K25="",0,$K25))</f>
        <v/>
      </c>
      <c r="W25" s="9">
        <f>IF($V25&gt;0,(IF($J25="",1,$J25))/$V25,0)</f>
        <v/>
      </c>
      <c r="X25" s="9">
        <f>($E25+$F25)/2</f>
        <v/>
      </c>
      <c r="Y25" s="9">
        <f>$X25*$W25*IF($AM25="",1,$AM25)</f>
        <v/>
      </c>
      <c r="Z25" s="9">
        <f>IF(NOT(($C25="是")),1,IF($M25&lt;=0,1,IF('参数区'!$B$13&gt;$M25,0,IF(OR('参数区'!$B$13&lt;=$N25,$M25&lt;=$N25),1,1-('参数区'!$B$13-$N25)/($M25-$N25)*(1-$O25)))))</f>
        <v/>
      </c>
      <c r="AA25" s="9">
        <f>IF(NOT(($C25="是")),1,IF((IF($D25="双持",$L25*1.25,$L25))&lt;=0,1,MIN(1,DEGREES(ATAN(('参数区'!$B$14/2)/'参数区'!$B$13))/(IF($D25="双持",$L25*1.25,$L25)))))</f>
        <v/>
      </c>
      <c r="AB25" s="9">
        <f>IF(($AF25)&lt;=0,(($E25)+($F25))/2,IF(($F25)&lt;=($E25),IF(($AF25)&lt;=0,($E25),IF(($E25)&gt;=($AF25),($E25),IF(($E25)&gt;=($AF25)/2,($E25)*(($E25)+($AF25))/(2*($AF25)),3*($E25)^2/(2*($AF25))))),(IF(MIN($F25,($AF25)/2)&gt;($E25),((MIN($F25,($AF25)/2))^3-(($E25))^3)/(2*($AF25)),0)+IF(MIN($F25,($AF25))&gt;MAX($E25,($AF25)/2),((MIN($F25,($AF25)))^3-(MAX($E25,($AF25)/2))^3)/(6*($AF25))+((MIN($F25,($AF25)))^2-(MAX($E25,($AF25)/2))^2)/4,0)+IF(($F25)&gt;MAX($E25,($AF25)),((($F25))^2-(MAX($E25,($AF25)))^2)/2,0))/(($F25)-($E25))))</f>
        <v/>
      </c>
      <c r="AC25" s="9">
        <f>IF(($AK25)&lt;=0,((0)+($AI25))/2,IF(($AI25)&lt;=(0),IF(($AK25)&lt;=0,(0),IF((0)&gt;=($AK25),(0),IF((0)&gt;=($AK25)/2,(0)*((0)+($AK25))/(2*($AK25)),3*(0)^2/(2*($AK25))))),(IF(MIN($AI25,($AK25)/2)&gt;(0),((MIN($AI25,($AK25)/2))^3-((0))^3)/(2*($AK25)),0)+IF(MIN($AI25,($AK25))&gt;MAX(0,($AK25)/2),((MIN($AI25,($AK25)))^3-(MAX(0,($AK25)/2))^3)/(6*($AK25))+((MIN($AI25,($AK25)))^2-(MAX(0,($AK25)/2))^2)/4,0)+IF(($AI25)&gt;MAX(0,($AK25)),((($AI25))^2-(MAX(0,($AK25)))^2)/2,0))/(($AI25)-(0))))</f>
        <v/>
      </c>
      <c r="AD25" s="9">
        <f>$AC25*$W25*$AA25*$Z25*IF($AM25="",1,$AM25)</f>
        <v/>
      </c>
      <c r="AE25" s="10">
        <f>IF(($H25="锐"),'参数区'!$B$4,'参数区'!$B$5)</f>
        <v/>
      </c>
      <c r="AF25" s="10">
        <f>$AE25*(1-$G25)</f>
        <v/>
      </c>
      <c r="AG25" s="10">
        <f>IF(($H25="锐"),'参数区'!$B$7,'参数区'!$B$8)</f>
        <v/>
      </c>
      <c r="AH25" s="10">
        <f>$AG25*(1-$G25)</f>
        <v/>
      </c>
      <c r="AI25" s="10">
        <f>IF(($AH25)&lt;=0,(($E25)+($F25))/2,IF(($F25)&lt;=($E25),IF(($AH25)&lt;=0,($E25),IF(($E25)&gt;=($AH25),($E25),IF(($E25)&gt;=($AH25)/2,($E25)*(($E25)+($AH25))/(2*($AH25)),3*($E25)^2/(2*($AH25))))),(IF(MIN($F25,($AH25)/2)&gt;($E25),((MIN($F25,($AH25)/2))^3-(($E25))^3)/(2*($AH25)),0)+IF(MIN($F25,($AH25))&gt;MAX($E25,($AH25)/2),((MIN($F25,($AH25)))^3-(MAX($E25,($AH25)/2))^3)/(6*($AH25))+((MIN($F25,($AH25)))^2-(MAX($E25,($AH25)/2))^2)/4,0)+IF(($F25)&gt;MAX($E25,($AH25)),((($F25))^2-(MAX($E25,($AH25)))^2)/2,0))/(($F25)-($E25))))</f>
        <v/>
      </c>
      <c r="AJ25" s="10">
        <f>IF(($H25="锐"),'参数区'!$B$9,'参数区'!$B$10)</f>
        <v/>
      </c>
      <c r="AK25" s="10">
        <f>$AJ25*(1-$G25)</f>
        <v/>
      </c>
      <c r="AL25" s="18" t="n"/>
      <c r="AM25" t="n">
        <v>1</v>
      </c>
      <c r="AN25" t="inlineStr">
        <is>
          <t>箭</t>
        </is>
      </c>
      <c r="AO25">
        <f>IF($AN25="—",0,MAX(1,IF($J25="",1,$J25)))</f>
        <v/>
      </c>
      <c r="AP25" s="41" t="n">
        <v>55</v>
      </c>
      <c r="AQ25" s="41" t="n">
        <v>0.1</v>
      </c>
    </row>
    <row r="26">
      <c r="A26" s="7" t="inlineStr">
        <is>
          <t>复合弩</t>
        </is>
      </c>
      <c r="B26" s="8" t="inlineStr">
        <is>
          <t>**不可制作，只能搜刮**（金手指帮根据地）。弩的天花板：**破甲之王**（68%），又准又狠</t>
        </is>
      </c>
      <c r="C26" s="7" t="inlineStr">
        <is>
          <t>是</t>
        </is>
      </c>
      <c r="D26" s="7" t="inlineStr">
        <is>
          <t>双手</t>
        </is>
      </c>
      <c r="E26" s="7" t="n">
        <v>1</v>
      </c>
      <c r="F26" s="7" t="n">
        <v>34</v>
      </c>
      <c r="G26" s="7" t="n">
        <v>0.68</v>
      </c>
      <c r="H26" s="7" t="inlineStr">
        <is>
          <t>锐</t>
        </is>
      </c>
      <c r="I26" s="7" t="n">
        <v>4.5</v>
      </c>
      <c r="J26" s="7" t="n">
        <v>1</v>
      </c>
      <c r="K26" s="7" t="n"/>
      <c r="L26" s="7" t="n">
        <v>1.8</v>
      </c>
      <c r="M26" s="7" t="n">
        <v>400</v>
      </c>
      <c r="N26" s="7" t="n">
        <v>180</v>
      </c>
      <c r="O26" s="7" t="n">
        <v>0.8</v>
      </c>
      <c r="P26" s="7" t="n"/>
      <c r="Q26" s="7" t="n"/>
      <c r="R26" s="7" t="n"/>
      <c r="S26" s="7" t="n"/>
      <c r="T26" s="8" t="inlineStr">
        <is>
          <t>吃箭。贴脸无近战兜底</t>
        </is>
      </c>
      <c r="U26" s="9">
        <f>IF($I26&gt;0,$I26/IF($D26="双手",1.15,IF($D26="双持",1.4,1)),0)</f>
        <v/>
      </c>
      <c r="V26" s="9">
        <f>$U26+((IF($J26="",1,$J26))-1)*(IF($K26="",0,$K26))</f>
        <v/>
      </c>
      <c r="W26" s="9">
        <f>IF($V26&gt;0,(IF($J26="",1,$J26))/$V26,0)</f>
        <v/>
      </c>
      <c r="X26" s="9">
        <f>($E26+$F26)/2</f>
        <v/>
      </c>
      <c r="Y26" s="9">
        <f>$X26*$W26*IF($AM26="",1,$AM26)</f>
        <v/>
      </c>
      <c r="Z26" s="9">
        <f>IF(NOT(($C26="是")),1,IF($M26&lt;=0,1,IF('参数区'!$B$13&gt;$M26,0,IF(OR('参数区'!$B$13&lt;=$N26,$M26&lt;=$N26),1,1-('参数区'!$B$13-$N26)/($M26-$N26)*(1-$O26)))))</f>
        <v/>
      </c>
      <c r="AA26" s="9">
        <f>IF(NOT(($C26="是")),1,IF((IF($D26="双持",$L26*1.25,$L26))&lt;=0,1,MIN(1,DEGREES(ATAN(('参数区'!$B$14/2)/'参数区'!$B$13))/(IF($D26="双持",$L26*1.25,$L26)))))</f>
        <v/>
      </c>
      <c r="AB26" s="9">
        <f>IF(($AF26)&lt;=0,(($E26)+($F26))/2,IF(($F26)&lt;=($E26),IF(($AF26)&lt;=0,($E26),IF(($E26)&gt;=($AF26),($E26),IF(($E26)&gt;=($AF26)/2,($E26)*(($E26)+($AF26))/(2*($AF26)),3*($E26)^2/(2*($AF26))))),(IF(MIN($F26,($AF26)/2)&gt;($E26),((MIN($F26,($AF26)/2))^3-(($E26))^3)/(2*($AF26)),0)+IF(MIN($F26,($AF26))&gt;MAX($E26,($AF26)/2),((MIN($F26,($AF26)))^3-(MAX($E26,($AF26)/2))^3)/(6*($AF26))+((MIN($F26,($AF26)))^2-(MAX($E26,($AF26)/2))^2)/4,0)+IF(($F26)&gt;MAX($E26,($AF26)),((($F26))^2-(MAX($E26,($AF26)))^2)/2,0))/(($F26)-($E26))))</f>
        <v/>
      </c>
      <c r="AC26" s="9">
        <f>IF(($AK26)&lt;=0,((0)+($AI26))/2,IF(($AI26)&lt;=(0),IF(($AK26)&lt;=0,(0),IF((0)&gt;=($AK26),(0),IF((0)&gt;=($AK26)/2,(0)*((0)+($AK26))/(2*($AK26)),3*(0)^2/(2*($AK26))))),(IF(MIN($AI26,($AK26)/2)&gt;(0),((MIN($AI26,($AK26)/2))^3-((0))^3)/(2*($AK26)),0)+IF(MIN($AI26,($AK26))&gt;MAX(0,($AK26)/2),((MIN($AI26,($AK26)))^3-(MAX(0,($AK26)/2))^3)/(6*($AK26))+((MIN($AI26,($AK26)))^2-(MAX(0,($AK26)/2))^2)/4,0)+IF(($AI26)&gt;MAX(0,($AK26)),((($AI26))^2-(MAX(0,($AK26)))^2)/2,0))/(($AI26)-(0))))</f>
        <v/>
      </c>
      <c r="AD26" s="9">
        <f>$AC26*$W26*$AA26*$Z26*IF($AM26="",1,$AM26)</f>
        <v/>
      </c>
      <c r="AE26" s="10">
        <f>IF(($H26="锐"),'参数区'!$B$4,'参数区'!$B$5)</f>
        <v/>
      </c>
      <c r="AF26" s="10">
        <f>$AE26*(1-$G26)</f>
        <v/>
      </c>
      <c r="AG26" s="10">
        <f>IF(($H26="锐"),'参数区'!$B$7,'参数区'!$B$8)</f>
        <v/>
      </c>
      <c r="AH26" s="10">
        <f>$AG26*(1-$G26)</f>
        <v/>
      </c>
      <c r="AI26" s="10">
        <f>IF(($AH26)&lt;=0,(($E26)+($F26))/2,IF(($F26)&lt;=($E26),IF(($AH26)&lt;=0,($E26),IF(($E26)&gt;=($AH26),($E26),IF(($E26)&gt;=($AH26)/2,($E26)*(($E26)+($AH26))/(2*($AH26)),3*($E26)^2/(2*($AH26))))),(IF(MIN($F26,($AH26)/2)&gt;($E26),((MIN($F26,($AH26)/2))^3-(($E26))^3)/(2*($AH26)),0)+IF(MIN($F26,($AH26))&gt;MAX($E26,($AH26)/2),((MIN($F26,($AH26)))^3-(MAX($E26,($AH26)/2))^3)/(6*($AH26))+((MIN($F26,($AH26)))^2-(MAX($E26,($AH26)/2))^2)/4,0)+IF(($F26)&gt;MAX($E26,($AH26)),((($F26))^2-(MAX($E26,($AH26)))^2)/2,0))/(($F26)-($E26))))</f>
        <v/>
      </c>
      <c r="AJ26" s="10">
        <f>IF(($H26="锐"),'参数区'!$B$9,'参数区'!$B$10)</f>
        <v/>
      </c>
      <c r="AK26" s="10">
        <f>$AJ26*(1-$G26)</f>
        <v/>
      </c>
      <c r="AL26" s="18" t="n"/>
      <c r="AM26" t="n">
        <v>1</v>
      </c>
      <c r="AN26" t="inlineStr">
        <is>
          <t>箭</t>
        </is>
      </c>
      <c r="AO26">
        <f>IF($AN26="—",0,MAX(1,IF($J26="",1,$J26)))</f>
        <v/>
      </c>
      <c r="AP26" s="41" t="n">
        <v>50</v>
      </c>
      <c r="AQ26" s="41" t="n">
        <v>0.1</v>
      </c>
    </row>
    <row r="27">
      <c r="A27" s="7" t="inlineStr">
        <is>
          <t>爪击(丧尸)</t>
        </is>
      </c>
      <c r="B27" s="8" t="inlineStr">
        <is>
          <t>天生近战锐器，穿透5%</t>
        </is>
      </c>
      <c r="C27" s="7" t="inlineStr">
        <is>
          <t>否</t>
        </is>
      </c>
      <c r="D27" s="7" t="inlineStr">
        <is>
          <t>单手</t>
        </is>
      </c>
      <c r="E27" s="7" t="n">
        <v>1</v>
      </c>
      <c r="F27" s="7" t="n">
        <v>5</v>
      </c>
      <c r="G27" s="7" t="n">
        <v>0.05</v>
      </c>
      <c r="H27" s="7" t="inlineStr">
        <is>
          <t>锐</t>
        </is>
      </c>
      <c r="I27" s="7" t="n">
        <v>2.3</v>
      </c>
      <c r="J27" s="7" t="n">
        <v>1</v>
      </c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8" t="inlineStr">
        <is>
          <t>天生武器</t>
        </is>
      </c>
      <c r="U27" s="9">
        <f>IF($I27&gt;0,$I27/IF($D27="双手",1.15,IF($D27="双持",1.4,1)),0)</f>
        <v/>
      </c>
      <c r="V27" s="9">
        <f>$U27+((IF($J27="",1,$J27))-1)*(IF($K27="",0,$K27))</f>
        <v/>
      </c>
      <c r="W27" s="9">
        <f>IF($V27&gt;0,(IF($J27="",1,$J27))/$V27,0)</f>
        <v/>
      </c>
      <c r="X27" s="9">
        <f>($E27+$F27)/2</f>
        <v/>
      </c>
      <c r="Y27" s="9">
        <f>$X27*$W27*IF($AM27="",1,$AM27)</f>
        <v/>
      </c>
      <c r="Z27" s="9">
        <f>IF(NOT(($C27="是")),1,IF($M27&lt;=0,1,IF('参数区'!$B$13&gt;$M27,0,IF(OR('参数区'!$B$13&lt;=$N27,$M27&lt;=$N27),1,1-('参数区'!$B$13-$N27)/($M27-$N27)*(1-$O27)))))</f>
        <v/>
      </c>
      <c r="AA27" s="9">
        <f>IF(NOT(($C27="是")),1,IF((IF($D27="双持",$L27*1.25,$L27))&lt;=0,1,MIN(1,DEGREES(ATAN(('参数区'!$B$14/2)/'参数区'!$B$13))/(IF($D27="双持",$L27*1.25,$L27)))))</f>
        <v/>
      </c>
      <c r="AB27" s="9">
        <f>IF(($AF27)&lt;=0,(($E27)+($F27))/2,IF(($F27)&lt;=($E27),IF(($AF27)&lt;=0,($E27),IF(($E27)&gt;=($AF27),($E27),IF(($E27)&gt;=($AF27)/2,($E27)*(($E27)+($AF27))/(2*($AF27)),3*($E27)^2/(2*($AF27))))),(IF(MIN($F27,($AF27)/2)&gt;($E27),((MIN($F27,($AF27)/2))^3-(($E27))^3)/(2*($AF27)),0)+IF(MIN($F27,($AF27))&gt;MAX($E27,($AF27)/2),((MIN($F27,($AF27)))^3-(MAX($E27,($AF27)/2))^3)/(6*($AF27))+((MIN($F27,($AF27)))^2-(MAX($E27,($AF27)/2))^2)/4,0)+IF(($F27)&gt;MAX($E27,($AF27)),((($F27))^2-(MAX($E27,($AF27)))^2)/2,0))/(($F27)-($E27))))</f>
        <v/>
      </c>
      <c r="AC27" s="9">
        <f>IF(($AK27)&lt;=0,((0)+($AI27))/2,IF(($AI27)&lt;=(0),IF(($AK27)&lt;=0,(0),IF((0)&gt;=($AK27),(0),IF((0)&gt;=($AK27)/2,(0)*((0)+($AK27))/(2*($AK27)),3*(0)^2/(2*($AK27))))),(IF(MIN($AI27,($AK27)/2)&gt;(0),((MIN($AI27,($AK27)/2))^3-((0))^3)/(2*($AK27)),0)+IF(MIN($AI27,($AK27))&gt;MAX(0,($AK27)/2),((MIN($AI27,($AK27)))^3-(MAX(0,($AK27)/2))^3)/(6*($AK27))+((MIN($AI27,($AK27)))^2-(MAX(0,($AK27)/2))^2)/4,0)+IF(($AI27)&gt;MAX(0,($AK27)),((($AI27))^2-(MAX(0,($AK27)))^2)/2,0))/(($AI27)-(0))))</f>
        <v/>
      </c>
      <c r="AD27" s="9">
        <f>$AC27*$W27*$AA27*$Z27*IF($AM27="",1,$AM27)</f>
        <v/>
      </c>
      <c r="AE27" s="10">
        <f>IF(($H27="锐"),'参数区'!$B$4,'参数区'!$B$5)</f>
        <v/>
      </c>
      <c r="AF27" s="10">
        <f>$AE27*(1-$G27)</f>
        <v/>
      </c>
      <c r="AG27" s="10">
        <f>IF(($H27="锐"),'参数区'!$B$7,'参数区'!$B$8)</f>
        <v/>
      </c>
      <c r="AH27" s="10">
        <f>$AG27*(1-$G27)</f>
        <v/>
      </c>
      <c r="AI27" s="10">
        <f>IF(($AH27)&lt;=0,(($E27)+($F27))/2,IF(($F27)&lt;=($E27),IF(($AH27)&lt;=0,($E27),IF(($E27)&gt;=($AH27),($E27),IF(($E27)&gt;=($AH27)/2,($E27)*(($E27)+($AH27))/(2*($AH27)),3*($E27)^2/(2*($AH27))))),(IF(MIN($F27,($AH27)/2)&gt;($E27),((MIN($F27,($AH27)/2))^3-(($E27))^3)/(2*($AH27)),0)+IF(MIN($F27,($AH27))&gt;MAX($E27,($AH27)/2),((MIN($F27,($AH27)))^3-(MAX($E27,($AH27)/2))^3)/(6*($AH27))+((MIN($F27,($AH27)))^2-(MAX($E27,($AH27)/2))^2)/4,0)+IF(($F27)&gt;MAX($E27,($AH27)),((($F27))^2-(MAX($E27,($AH27)))^2)/2,0))/(($F27)-($E27))))</f>
        <v/>
      </c>
      <c r="AJ27" s="10">
        <f>IF(($H27="锐"),'参数区'!$B$9,'参数区'!$B$10)</f>
        <v/>
      </c>
      <c r="AK27" s="10">
        <f>$AJ27*(1-$G27)</f>
        <v/>
      </c>
      <c r="AL27" s="18" t="inlineStr">
        <is>
          <t>—</t>
        </is>
      </c>
      <c r="AM27" t="n">
        <v>1</v>
      </c>
      <c r="AN27" t="inlineStr">
        <is>
          <t>—</t>
        </is>
      </c>
      <c r="AO27">
        <f>IF($AN27="—",0,MAX(1,IF($J27="",1,$J27)))</f>
        <v/>
      </c>
      <c r="AP27" s="39" t="n">
        <v>100</v>
      </c>
      <c r="AQ27" s="39" t="n">
        <v>2.5</v>
      </c>
    </row>
    <row r="28">
      <c r="A28" s="7" t="inlineStr">
        <is>
          <t>撕咬(布鲁斯)</t>
        </is>
      </c>
      <c r="B28" s="8" t="inlineStr">
        <is>
          <t>一口尖牙，咬住了就不松口——布鲁斯拖住敌人，剩下的交给道格。</t>
        </is>
      </c>
      <c r="C28" s="7" t="inlineStr">
        <is>
          <t>否</t>
        </is>
      </c>
      <c r="D28" s="7" t="inlineStr">
        <is>
          <t>单手</t>
        </is>
      </c>
      <c r="E28" s="7" t="n">
        <v>1</v>
      </c>
      <c r="F28" s="7" t="n">
        <v>4</v>
      </c>
      <c r="G28" s="7" t="n">
        <v>0.1</v>
      </c>
      <c r="H28" s="7" t="inlineStr">
        <is>
          <t>锐</t>
        </is>
      </c>
      <c r="I28" s="7" t="n">
        <v>2.3</v>
      </c>
      <c r="J28" s="7" t="n">
        <v>1</v>
      </c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8" t="inlineStr">
        <is>
          <t>布鲁斯的天生武器，玩家不可穿脱</t>
        </is>
      </c>
      <c r="U28" s="9">
        <f>IF($I28&gt;0,$I28/IF($D28="双手",1.15,IF($D28="双持",1.4,1)),0)</f>
        <v/>
      </c>
      <c r="V28" s="9">
        <f>$U28+((IF($J28="",1,$J28))-1)*(IF($K28="",0,$K28))</f>
        <v/>
      </c>
      <c r="W28" s="9">
        <f>IF($V28&gt;0,(IF($J28="",1,$J28))/$V28,0)</f>
        <v/>
      </c>
      <c r="X28" s="9">
        <f>($E28+$F28)/2</f>
        <v/>
      </c>
      <c r="Y28" s="9">
        <f>$X28*$W28*IF($AM28="",1,$AM28)</f>
        <v/>
      </c>
      <c r="Z28" s="9">
        <f>IF(NOT(($C28="是")),1,IF($M28&lt;=0,1,IF('参数区'!$B$13&gt;$M28,0,IF(OR('参数区'!$B$13&lt;=$N28,$M28&lt;=$N28),1,1-('参数区'!$B$13-$N28)/($M28-$N28)*(1-$O28)))))</f>
        <v/>
      </c>
      <c r="AA28" s="9">
        <f>IF(NOT(($C28="是")),1,IF((IF($D28="双持",$L28*1.25,$L28))&lt;=0,1,MIN(1,DEGREES(ATAN(('参数区'!$B$14/2)/'参数区'!$B$13))/(IF($D28="双持",$L28*1.25,$L28)))))</f>
        <v/>
      </c>
      <c r="AB28" s="9">
        <f>IF(($AF28)&lt;=0,(($E28)+($F28))/2,IF(($F28)&lt;=($E28),IF(($AF28)&lt;=0,($E28),IF(($E28)&gt;=($AF28),($E28),IF(($E28)&gt;=($AF28)/2,($E28)*(($E28)+($AF28))/(2*($AF28)),3*($E28)^2/(2*($AF28))))),(IF(MIN($F28,($AF28)/2)&gt;($E28),((MIN($F28,($AF28)/2))^3-(($E28))^3)/(2*($AF28)),0)+IF(MIN($F28,($AF28))&gt;MAX($E28,($AF28)/2),((MIN($F28,($AF28)))^3-(MAX($E28,($AF28)/2))^3)/(6*($AF28))+((MIN($F28,($AF28)))^2-(MAX($E28,($AF28)/2))^2)/4,0)+IF(($F28)&gt;MAX($E28,($AF28)),((($F28))^2-(MAX($E28,($AF28)))^2)/2,0))/(($F28)-($E28))))</f>
        <v/>
      </c>
      <c r="AC28" s="9">
        <f>IF(($AK28)&lt;=0,((0)+($AI28))/2,IF(($AI28)&lt;=(0),IF(($AK28)&lt;=0,(0),IF((0)&gt;=($AK28),(0),IF((0)&gt;=($AK28)/2,(0)*((0)+($AK28))/(2*($AK28)),3*(0)^2/(2*($AK28))))),(IF(MIN($AI28,($AK28)/2)&gt;(0),((MIN($AI28,($AK28)/2))^3-((0))^3)/(2*($AK28)),0)+IF(MIN($AI28,($AK28))&gt;MAX(0,($AK28)/2),((MIN($AI28,($AK28)))^3-(MAX(0,($AK28)/2))^3)/(6*($AK28))+((MIN($AI28,($AK28)))^2-(MAX(0,($AK28)/2))^2)/4,0)+IF(($AI28)&gt;MAX(0,($AK28)),((($AI28))^2-(MAX(0,($AK28)))^2)/2,0))/(($AI28)-(0))))</f>
        <v/>
      </c>
      <c r="AD28" s="9">
        <f>$AC28*$W28*$AA28*$Z28*IF($AM28="",1,$AM28)</f>
        <v/>
      </c>
      <c r="AE28" s="10">
        <f>IF(($H28="锐"),'参数区'!$B$4,'参数区'!$B$5)</f>
        <v/>
      </c>
      <c r="AF28" s="10">
        <f>$AE28*(1-$G28)</f>
        <v/>
      </c>
      <c r="AG28" s="10">
        <f>IF(($H28="锐"),'参数区'!$B$7,'参数区'!$B$8)</f>
        <v/>
      </c>
      <c r="AH28" s="10">
        <f>$AG28*(1-$G28)</f>
        <v/>
      </c>
      <c r="AI28" s="10">
        <f>IF(($AH28)&lt;=0,(($E28)+($F28))/2,IF(($F28)&lt;=($E28),IF(($AH28)&lt;=0,($E28),IF(($E28)&gt;=($AH28),($E28),IF(($E28)&gt;=($AH28)/2,($E28)*(($E28)+($AH28))/(2*($AH28)),3*($E28)^2/(2*($AH28))))),(IF(MIN($F28,($AH28)/2)&gt;($E28),((MIN($F28,($AH28)/2))^3-(($E28))^3)/(2*($AH28)),0)+IF(MIN($F28,($AH28))&gt;MAX($E28,($AH28)/2),((MIN($F28,($AH28)))^3-(MAX($E28,($AH28)/2))^3)/(6*($AH28))+((MIN($F28,($AH28)))^2-(MAX($E28,($AH28)/2))^2)/4,0)+IF(($F28)&gt;MAX($E28,($AH28)),((($F28))^2-(MAX($E28,($AH28)))^2)/2,0))/(($F28)-($E28))))</f>
        <v/>
      </c>
      <c r="AJ28" s="10">
        <f>IF(($H28="锐"),'参数区'!$B$9,'参数区'!$B$10)</f>
        <v/>
      </c>
      <c r="AK28" s="10">
        <f>$AJ28*(1-$G28)</f>
        <v/>
      </c>
      <c r="AL28" s="18" t="inlineStr">
        <is>
          <t>—</t>
        </is>
      </c>
      <c r="AM28" t="n">
        <v>1</v>
      </c>
      <c r="AN28" t="inlineStr">
        <is>
          <t>—</t>
        </is>
      </c>
      <c r="AO28">
        <f>IF($AN28="—",0,MAX(1,IF($J28="",1,$J28)))</f>
        <v/>
      </c>
      <c r="AP28" s="39" t="n">
        <v>90</v>
      </c>
      <c r="AQ28" s="39" t="n">
        <v>2.5</v>
      </c>
    </row>
  </sheetData>
  <mergeCells count="3">
    <mergeCell ref="A1:T1"/>
    <mergeCell ref="U1:AD1"/>
    <mergeCell ref="AE1:AK1"/>
  </mergeCells>
  <dataValidations count="3">
    <dataValidation sqref="C3:C59" showDropDown="0" showInputMessage="0" showErrorMessage="0" allowBlank="1" type="list">
      <formula1>"是,否"</formula1>
    </dataValidation>
    <dataValidation sqref="D3:D59" showDropDown="0" showInputMessage="0" showErrorMessage="0" allowBlank="1" type="list">
      <formula1>"单手,双手,双持"</formula1>
    </dataValidation>
    <dataValidation sqref="H3:H59" showDropDown="0" showInputMessage="0" showErrorMessage="0" allowBlank="1" type="list">
      <formula1>"锐,钝"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14" customWidth="1" style="26" min="1" max="1"/>
    <col width="10" customWidth="1" style="26" min="2" max="2"/>
    <col width="10" customWidth="1" style="26" min="3" max="3"/>
    <col width="10" customWidth="1" style="26" min="4" max="4"/>
    <col width="10" customWidth="1" style="26" min="5" max="5"/>
    <col width="16" customWidth="1" style="26" min="6" max="6"/>
    <col width="16" customWidth="1" style="26" min="7" max="7"/>
    <col width="46" customWidth="1" style="26" min="8" max="8"/>
    <col width="40" customWidth="1" style="26" min="9" max="9"/>
    <col width="80" customWidth="1" style="26" min="10" max="10"/>
    <col width="20" customWidth="1" style="26" min="11" max="11"/>
  </cols>
  <sheetData>
    <row r="1">
      <c r="A1" s="11" t="inlineStr">
        <is>
          <t>箭矢表 —— 「箭的类型反过来修改弓的属性」：最终属性 = 弓/弩的基础属性 × 这里的倍率</t>
        </is>
      </c>
    </row>
    <row r="2">
      <c r="A2" t="inlineStr">
        <is>
          <t>倍率读法：伤害/穿透/射程 —— 大于1更好；冷却/散布 —— **大于1更差**（冷却长＝攻速慢，散布大＝更不准）。弓和弩共用这4种箭。数值皆「拟定待调」，改这里即可。</t>
        </is>
      </c>
    </row>
    <row r="4">
      <c r="A4" s="27" t="inlineStr">
        <is>
          <t>箭名</t>
        </is>
      </c>
      <c r="B4" s="27" t="inlineStr">
        <is>
          <t>可制作?</t>
        </is>
      </c>
      <c r="C4" s="28" t="inlineStr">
        <is>
          <t>伤害倍率</t>
        </is>
      </c>
      <c r="D4" s="28" t="inlineStr">
        <is>
          <t>破甲倍率</t>
        </is>
      </c>
      <c r="E4" s="28" t="inlineStr">
        <is>
          <t>射程倍率</t>
        </is>
      </c>
      <c r="F4" s="28" t="inlineStr">
        <is>
          <t>冷却倍率(&gt;1更慢)</t>
        </is>
      </c>
      <c r="G4" s="28" t="inlineStr">
        <is>
          <t>散布倍率(&gt;1更不准)</t>
        </is>
      </c>
      <c r="H4" s="27" t="inlineStr">
        <is>
          <t>配方</t>
        </is>
      </c>
      <c r="I4" s="27" t="inlineStr">
        <is>
          <t>获取</t>
        </is>
      </c>
      <c r="J4" s="27" t="inlineStr">
        <is>
          <t>风味描述</t>
        </is>
      </c>
      <c r="K4" s="29" t="inlineStr">
        <is>
          <t>id(勿改)</t>
        </is>
      </c>
    </row>
    <row r="5">
      <c r="A5" t="inlineStr">
        <is>
          <t>削尖的木箭</t>
        </is>
      </c>
      <c r="B5" t="inlineStr">
        <is>
          <t>可制作</t>
        </is>
      </c>
      <c r="C5" s="30" t="n">
        <v>0.7</v>
      </c>
      <c r="D5" s="30" t="n">
        <v>0.55</v>
      </c>
      <c r="E5" s="30" t="n">
        <v>0.85</v>
      </c>
      <c r="F5" s="30" t="n">
        <v>1</v>
      </c>
      <c r="G5" s="30" t="n">
        <v>1.3</v>
      </c>
      <c r="H5" t="inlineStr">
        <is>
          <t>木料1 → **3支**（无工具槽、无书门槛，开局即可做，20工时）</t>
        </is>
      </c>
      <c r="I5" t="inlineStr">
        <is>
          <t>制作/搜刮</t>
        </is>
      </c>
      <c r="J5" t="inlineStr">
        <is>
          <t>一根削尖的木棍，勉强算箭。它会飞，也会中，就是别指望它飞直，或者中得深。</t>
        </is>
      </c>
      <c r="K5" s="31" t="inlineStr">
        <is>
          <t>ammo_arrow_stick</t>
        </is>
      </c>
    </row>
    <row r="6">
      <c r="A6" t="inlineStr">
        <is>
          <t>自制箭</t>
        </is>
      </c>
      <c r="B6" t="inlineStr">
        <is>
          <t>可制作</t>
        </is>
      </c>
      <c r="C6" s="30" t="n">
        <v>1</v>
      </c>
      <c r="D6" s="30" t="n">
        <v>1</v>
      </c>
      <c r="E6" s="30" t="n">
        <v>1</v>
      </c>
      <c r="F6" s="30" t="n">
        <v>1</v>
      </c>
      <c r="G6" s="30" t="n">
        <v>1</v>
      </c>
      <c r="H6" t="inlineStr">
        <is>
          <t>木料2+废金属1+布1 → **4支**（卡尺槽，45工时）</t>
        </is>
      </c>
      <c r="I6" t="inlineStr">
        <is>
          <t>制作/搜刮</t>
        </is>
      </c>
      <c r="J6" t="inlineStr">
        <is>
          <t>木杆、铁头、布尾羽，手工出品。称不上精良，但每一支都长得一样——对一个弓手来说，这比精良更要紧。</t>
        </is>
      </c>
      <c r="K6" s="31" t="inlineStr">
        <is>
          <t>ammo_arrow_handmade</t>
        </is>
      </c>
    </row>
    <row r="7">
      <c r="A7" t="inlineStr">
        <is>
          <t>重头箭</t>
        </is>
      </c>
      <c r="B7" t="inlineStr">
        <is>
          <t>可制作</t>
        </is>
      </c>
      <c r="C7" s="30" t="n">
        <v>1.35</v>
      </c>
      <c r="D7" s="30" t="n">
        <v>1.45</v>
      </c>
      <c r="E7" s="30" t="n">
        <v>0.75</v>
      </c>
      <c r="F7" s="30" t="n">
        <v>1.15</v>
      </c>
      <c r="G7" s="30" t="n">
        <v>1.15</v>
      </c>
      <c r="H7" t="inlineStr">
        <is>
          <t>木料2+金属锭1 → **3支**（卡尺槽，60工时）</t>
        </is>
      </c>
      <c r="I7" t="inlineStr">
        <is>
          <t>制作/搜刮</t>
        </is>
      </c>
      <c r="J7" t="inlineStr">
        <is>
          <t>箭头灌了铅，沉得手腕发酸。飞不远，抬手也慢，但扎上去的时候，护甲的意见就不太重要了。</t>
        </is>
      </c>
      <c r="K7" s="31" t="inlineStr">
        <is>
          <t>ammo_arrow_heavy</t>
        </is>
      </c>
    </row>
    <row r="8">
      <c r="A8" t="inlineStr">
        <is>
          <t>碳纤维箭</t>
        </is>
      </c>
      <c r="B8" t="inlineStr">
        <is>
          <t>不可制作</t>
        </is>
      </c>
      <c r="C8" s="30" t="n">
        <v>1.25</v>
      </c>
      <c r="D8" s="30" t="n">
        <v>1.25</v>
      </c>
      <c r="E8" s="30" t="n">
        <v>1.2</v>
      </c>
      <c r="F8" s="30" t="n">
        <v>0.9</v>
      </c>
      <c r="G8" s="30" t="n">
        <v>0.7</v>
      </c>
      <c r="H8" t="inlineStr">
        <is>
          <t>—— 没有配方 ——</t>
        </is>
      </c>
      <c r="I8" t="inlineStr">
        <is>
          <t>只能搜刮（超市/守林人小屋/金手指帮/河边小屋）</t>
        </is>
      </c>
      <c r="J8" t="inlineStr">
        <is>
          <t>碳纤维箭杆，笔直、轻盈、贵得离谱。工厂早就停工了，用一支少一支——所以射出去之后，你一定会回去把它捡起来。</t>
        </is>
      </c>
      <c r="K8" s="31" t="inlineStr">
        <is>
          <t>ammo_arrow_carbon</t>
        </is>
      </c>
    </row>
    <row r="11">
      <c r="A11" s="12" t="inlineStr">
        <is>
          <t>说明</t>
        </is>
      </c>
    </row>
    <row r="12">
      <c r="A12" t="inlineStr">
        <is>
          <t>· 「自制箭」是基线（倍率全 1.00）。看表时以它为原点：其它三种箭是相对它好多少、差多少。</t>
        </is>
      </c>
    </row>
    <row r="13">
      <c r="A13" t="inlineStr">
        <is>
          <t>· 「重头箭」是用户唯一明确的一条：破甲更高，但射程和攻速削弱。三个方向已钉死在测试里，改数值不会改方向。</t>
        </is>
      </c>
    </row>
    <row r="14">
      <c r="A14" t="inlineStr">
        <is>
          <t>· 「碳纤维箭」四项全优、还更准——它的代价不是数值，是**稀缺**：没有配方，只能搜刮，用一支少一支。</t>
        </is>
      </c>
    </row>
    <row r="15">
      <c r="A15" t="inlineStr">
        <is>
          <t>· **箭可以捡回来，但只有一部分**：基础 **25%**（射四支只捡回一支）；读过《弓与箭之道》后 **50%**。—— 你拍板的数。</t>
        </is>
      </c>
    </row>
    <row r="16">
      <c r="A16" t="inlineStr">
        <is>
          <t>· 叠乘保护：穿透最高封顶 95%（挡住「复合弩×重头箭＝98.6%」这种无视一切护甲的组合）；散布角最低 0.5°（没有绝对精准的弓）。</t>
        </is>
      </c>
    </row>
    <row r="17">
      <c r="A17" t="inlineStr">
        <is>
          <t>· 伤害**下限恒为 1**，不吃箭的修正——这是全仓的近战锐器通则（箭是「飞出去的刀」，斜面掠射、擦过划一道口子是常态）。箭的好坏体现在**上限**。</t>
        </is>
      </c>
    </row>
    <row r="19">
      <c r="A19" t="inlineStr">
        <is>
          <t>重头箭为什么改过一次数（Sim 实测）</t>
        </is>
      </c>
    </row>
    <row r="20">
      <c r="A20" t="inlineStr">
        <is>
          <t>· 初版取 伤害×1.20 / 冷却×1.25，Sim 实测重头箭**在每一列都输给自制箭**（打重甲 −2~−4.5pp）——「破甲更高」专不起来，成了纯劣化。</t>
        </is>
      </c>
    </row>
    <row r="21">
      <c r="A21" t="inlineStr">
        <is>
          <t>· 根因：本作里**穿透是低杠杆轴**（能不能击穿甲，主要由伤害骰决定，穿透只压低护甲的防御骰上限）。所以「破甲×1.45」几乎买不到胜率，而「冷却×1.25」是实打实的 −20% 输出。</t>
        </is>
      </c>
    </row>
    <row r="22">
      <c r="A22" t="inlineStr">
        <is>
          <t>· 修法：把收益挪到吃得上劲的轴上 —— 伤害×1.35、冷却惩罚收窄到×1.15。**你给的三个方向（破甲↑/射程↓/攻速↓）一个没动，动的只是幅度。**</t>
        </is>
      </c>
    </row>
    <row r="23">
      <c r="A23" t="inlineStr">
        <is>
          <t>· 改完实测：打丧尸 +0.0~+2.3pp（基本持平）、打中甲 +0.9~+9.0pp、打重甲 +2.7~+10.0pp —— **收益随甲的厚度单调上升**，这才是破甲专精。</t>
        </is>
      </c>
    </row>
    <row r="24">
      <c r="A24" t="inlineStr">
        <is>
          <t>· 它真正的代价落在模拟器量不到的两处：**射程 −25%**（要靠近才打得到）与**造价**（吃金属锭，比自制箭的废金属贵一档）。</t>
        </is>
      </c>
    </row>
    <row r="26">
      <c r="A26" t="inlineStr">
        <is>
          <t>箭矢回收率（你拍板的）</t>
        </is>
      </c>
    </row>
    <row r="27">
      <c r="A27" t="inlineStr">
        <is>
          <t>· 基础 **25%** —— 射出四支，只捡回一支。**弓弩不是免费远程**，它只是后勤压力小于枪（箭不吃子弹零件，且至少还捡得回一部分）。</t>
        </is>
      </c>
    </row>
    <row r="28">
      <c r="A28" t="inlineStr">
        <is>
          <t>· 读过《**弓与箭之道**》后 **50%** —— 正好翻倍。每支箭的期望射击次数从 1.33 次拉到 2.00 次（+50%）。一筒 20 支箭：能射 27 箭 → 40 箭。</t>
        </is>
      </c>
    </row>
    <row r="29">
      <c r="A29" t="inlineStr">
        <is>
          <t>· 判定是**逐支箭独立**掷点的（不是一次射击整体判定）。射出去的是一支支箭，崩断与否本就该一支支算。</t>
        </is>
      </c>
    </row>
    <row r="30">
      <c r="A30" t="inlineStr">
        <is>
          <t>· 《弓与箭之道》**不可制作，只能搜刮**：全局唯一一本，在**守林人小屋·床底**。它是弓弩流的**硬前置**——找不到它，你养不起一个弓手。</t>
        </is>
      </c>
    </row>
    <row r="31">
      <c r="A31" t="inlineStr">
        <is>
          <t>· 配套：箭的造价刻意**不低**（除应急木箭外，每支都要吃金属）。若造箭近乎白送，「跑回战场把箭捡回来」就不值得冒险，回收率这条机制也就白设计了。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CE4D6"/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6" customWidth="1" style="26" min="1" max="1"/>
    <col width="12" customWidth="1" style="26" min="2" max="2"/>
    <col width="62" customWidth="1" style="26" min="3" max="3"/>
  </cols>
  <sheetData>
    <row r="1">
      <c r="A1" s="23" t="inlineStr">
        <is>
          <t>参数区（这里的数一改，整张武器表跟着变）</t>
        </is>
      </c>
    </row>
    <row r="2">
      <c r="A2" s="20" t="n"/>
      <c r="C2" s="20" t="n"/>
    </row>
    <row r="3">
      <c r="A3" s="19" t="inlineStr">
        <is>
          <t>护甲预设（可调；默认取『护甲表』现值）</t>
        </is>
      </c>
    </row>
    <row r="4">
      <c r="A4" s="20" t="inlineStr">
        <is>
          <t>单层甲 · 挡锐器</t>
        </is>
      </c>
      <c r="B4" s="13" t="n">
        <v>12</v>
      </c>
      <c r="C4" s="20" t="inlineStr">
        <is>
          <t>算单层甲时用。默认＝皮甲的挡锐器值</t>
        </is>
      </c>
    </row>
    <row r="5">
      <c r="A5" s="20" t="inlineStr">
        <is>
          <t>单层甲 · 挡钝器</t>
        </is>
      </c>
      <c r="B5" s="13" t="n">
        <v>6</v>
      </c>
      <c r="C5" s="20" t="inlineStr">
        <is>
          <t>默认＝皮甲的挡钝器值</t>
        </is>
      </c>
    </row>
    <row r="6">
      <c r="A6" s="20" t="n"/>
      <c r="C6" s="20" t="n"/>
    </row>
    <row r="7">
      <c r="A7" s="20" t="inlineStr">
        <is>
          <t>多层甲 · 外层挡锐器</t>
        </is>
      </c>
      <c r="B7" s="13" t="n">
        <v>12</v>
      </c>
      <c r="C7" s="20" t="inlineStr">
        <is>
          <t>算多层甲的外层。默认＝皮甲(外套)</t>
        </is>
      </c>
    </row>
    <row r="8">
      <c r="A8" s="20" t="inlineStr">
        <is>
          <t>多层甲 · 外层挡钝器</t>
        </is>
      </c>
      <c r="B8" s="13" t="n">
        <v>6</v>
      </c>
      <c r="C8" s="20" t="inlineStr">
        <is>
          <t>默认＝皮甲的挡钝器值</t>
        </is>
      </c>
    </row>
    <row r="9">
      <c r="A9" s="20" t="inlineStr">
        <is>
          <t>多层甲 · 内层挡锐器</t>
        </is>
      </c>
      <c r="B9" s="13" t="n">
        <v>4</v>
      </c>
      <c r="C9" s="20" t="inlineStr">
        <is>
          <t>算多层甲的内层。默认＝贴身布衣的挡锐器值</t>
        </is>
      </c>
    </row>
    <row r="10">
      <c r="A10" s="20" t="inlineStr">
        <is>
          <t>多层甲 · 内层挡钝器</t>
        </is>
      </c>
      <c r="B10" s="13" t="n">
        <v>2</v>
      </c>
      <c r="C10" s="20" t="inlineStr">
        <is>
          <t>默认＝贴身布衣的挡钝器值</t>
        </is>
      </c>
    </row>
    <row r="11">
      <c r="A11" s="20" t="n"/>
      <c r="C11" s="20" t="n"/>
    </row>
    <row r="12">
      <c r="A12" s="19" t="inlineStr">
        <is>
          <t>命中率 / 距离 参数</t>
        </is>
      </c>
    </row>
    <row r="13">
      <c r="A13" s="20" t="inlineStr">
        <is>
          <t>评估距离</t>
        </is>
      </c>
      <c r="B13" s="13" t="n">
        <v>80</v>
      </c>
      <c r="C13" s="20" t="inlineStr">
        <is>
          <t>远程的命中率和距离掉伤都按这个距离算；近战不受影响</t>
        </is>
      </c>
    </row>
    <row r="14">
      <c r="A14" s="20" t="inlineStr">
        <is>
          <t>目标大小</t>
        </is>
      </c>
      <c r="B14" s="13" t="n">
        <v>24</v>
      </c>
      <c r="C14" s="20" t="inlineStr">
        <is>
          <t>按人的身宽估的目标大小，算命中率用(具体尺度待定)</t>
        </is>
      </c>
    </row>
  </sheetData>
  <mergeCells count="3">
    <mergeCell ref="A1:C1"/>
    <mergeCell ref="A3:C3"/>
    <mergeCell ref="A12:C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style="26" min="1" max="1"/>
    <col width="15" customWidth="1" style="26" min="2" max="2"/>
    <col width="30" customWidth="1" style="26" min="3" max="3"/>
    <col width="78" customWidth="1" style="26" min="4" max="4"/>
  </cols>
  <sheetData>
    <row r="1">
      <c r="A1" s="34" t="inlineStr">
        <is>
          <t>不是武器发出的声音——人本身发出的声音</t>
        </is>
      </c>
    </row>
    <row r="3" ht="22" customHeight="1" s="26">
      <c r="A3" s="35" t="inlineStr">
        <is>
          <t>行为</t>
        </is>
      </c>
      <c r="B3" s="35" t="inlineStr">
        <is>
          <t>噪音半径(像素)</t>
        </is>
      </c>
      <c r="C3" s="35" t="inlineStr">
        <is>
          <t>谁会做</t>
        </is>
      </c>
      <c r="D3" s="35" t="inlineStr">
        <is>
          <t>这个数是怎么定的</t>
        </is>
      </c>
    </row>
    <row r="4" ht="60" customHeight="1" s="26">
      <c r="A4" s="36" t="inlineStr">
        <is>
          <t>走路（人）</t>
        </is>
      </c>
      <c r="B4" s="37" t="n">
        <v>40</v>
      </c>
      <c r="C4" s="36" t="inlineStr">
        <is>
          <t>玩家、队友、劫掠者、丧尸——所有人</t>
        </is>
      </c>
      <c r="D4" s="36" t="inlineStr">
        <is>
          <t>必须小于 70（丧尸闻得到你的距离），否则你一迈腿就把周围全招来，地图根本没法走。40 的意思是：只有已经快贴到你脸上的敌人才听得见你的脚步。</t>
        </is>
      </c>
    </row>
    <row r="5" ht="60" customHeight="1" s="26">
      <c r="A5" s="36" t="inlineStr">
        <is>
          <t>走路（布鲁斯）</t>
        </is>
      </c>
      <c r="B5" s="37" t="n">
        <v>25</v>
      </c>
      <c r="C5" s="36" t="inlineStr">
        <is>
          <t>狗</t>
        </is>
      </c>
      <c r="D5" s="36" t="inlineStr">
        <is>
          <t>四只软肉垫，体重不到人的四分之一。所以放布鲁斯出去探路比自己去安全得多。</t>
        </is>
      </c>
    </row>
    <row r="6" ht="60" customHeight="1" s="26">
      <c r="A6" s="36" t="inlineStr">
        <is>
          <t>砸门 / 砸围栏</t>
        </is>
      </c>
      <c r="B6" s="37" t="n">
        <v>180</v>
      </c>
      <c r="C6" s="36" t="inlineStr">
        <is>
          <t>袭营的劫掠者和丧尸（进不来就砸）</t>
        </is>
      </c>
      <c r="D6" s="36" t="inlineStr">
        <is>
          <t>抡着家伙砸木头铁皮，动静盖过任何一次挥砍（最响的破甲锤才 150）。有意思的是：劫掠者砸你家大门的时候，会把附近闲逛的丧尸一起招过来——他们自己制造的动静会反噬他们。</t>
        </is>
      </c>
    </row>
    <row r="7" ht="60" customHeight="1" s="26">
      <c r="A7" s="36" t="inlineStr">
        <is>
          <t>开门</t>
        </is>
      </c>
      <c r="B7" s="37" t="n">
        <v>100</v>
      </c>
      <c r="C7" s="36" t="inlineStr">
        <is>
          <t>玩家（推门进屋）、劫掠者（路过顺手开门）</t>
        </is>
      </c>
      <c r="D7" s="36" t="inlineStr">
        <is>
          <t>一扇旧门被推开的吱呀和碰撞。100 &gt; 丧尸闻得到你的距离(70) —— 意思是**你推开一扇门，附近闲逛的东西听得见**。这正是撬锁存在的意义。</t>
        </is>
      </c>
    </row>
    <row r="8" ht="72" customHeight="1" s="26">
      <c r="A8" s="36" t="inlineStr">
        <is>
          <t>撬锁</t>
        </is>
      </c>
      <c r="B8" s="37" t="n">
        <v>30</v>
      </c>
      <c r="C8" s="36" t="inlineStr">
        <is>
          <t>玩家（要有铁丝）</t>
        </is>
      </c>
      <c r="D8" s="36" t="inlineStr">
        <is>
          <t>**全表最轻的声音，比走路(40)还轻**。30 &lt; 丧尸的鼻子(70) ⇒ 撬锁本身谁也惊动不了。这是它存在的全部理由：撬锁买的是寂静，付的是时间（一把结实的锁要撬半分钟，还费铁丝）。锁着的门你有两个选择——撬(30，慢而静) 还是砸(180，快而全场皆知)。</t>
        </is>
      </c>
    </row>
    <row r="9">
      <c r="A9" s="36" t="inlineStr">
        <is>
          <t>走多远响一声</t>
        </is>
      </c>
      <c r="B9" s="37" t="n">
        <v>48</v>
      </c>
      <c r="C9" s="36" t="inlineStr">
        <is>
          <t>——</t>
        </is>
      </c>
      <c r="D9" s="36" t="inlineStr">
        <is>
          <t>走路是一直在走的，不可能每一帧都出声（那样电脑会卡死）。改成「每走过 48 像素响一声」——以人的走速算，大约每半秒一声。站着不动完全不出声；被拖慢了脚步自动变稀；跑得快脚步自动变密。</t>
        </is>
      </c>
    </row>
    <row r="11" ht="32" customHeight="1" s="26"/>
    <row r="12">
      <c r="A12" s="38" t="inlineStr">
        <is>
          <t>铁律（破了游戏就不好玩了）：走路(40) &lt; 弓弩(50~70) &lt; 近战(90~150) ≪ 枪(350~700)。尤其是「近战不能比弓还静」——不然远远一箭放倒就没有意义了，弓白做。</t>
        </is>
      </c>
    </row>
    <row r="13">
      <c r="A13" s="34" t="inlineStr">
        <is>
          <t>谁听得见你发出的声音？（两种声音，规矩不一样）</t>
        </is>
      </c>
    </row>
    <row r="14" ht="22" customHeight="1" s="26">
      <c r="A14" s="42" t="inlineStr">
        <is>
          <t>哪种声音</t>
        </is>
      </c>
      <c r="B14" s="42" t="inlineStr">
        <is>
          <t>包含</t>
        </is>
      </c>
      <c r="C14" s="42" t="inlineStr">
        <is>
          <t>谁会被引过来</t>
        </is>
      </c>
      <c r="D14" s="42" t="inlineStr">
        <is>
          <t>为什么这么定</t>
        </is>
      </c>
    </row>
    <row r="15" ht="66" customHeight="1" s="26">
      <c r="A15" s="36" t="inlineStr">
        <is>
          <t>打斗的动静</t>
        </is>
      </c>
      <c r="B15" s="36" t="inlineStr">
        <is>
          <t>开枪、砍人、丧尸抓你、狗咬人、砸门、开门、撬锁</t>
        </is>
      </c>
      <c r="C15" s="36" t="inlineStr">
        <is>
          <t>**附近所有闲着的敌人，不管是谁在打谁**</t>
        </is>
      </c>
      <c r="D15" s="36" t="inlineStr">
        <is>
          <t>打斗的惨叫和撞击，谁听见都会过来看。**所以被围住就真的会滚雪球**：丧尸抓你的动静，会把别的丧尸也引过来。你砍得越久，来的越多。</t>
        </is>
      </c>
    </row>
    <row r="16" ht="66" customHeight="1" s="26">
      <c r="A16" s="36" t="inlineStr">
        <is>
          <t>脚步声</t>
        </is>
      </c>
      <c r="B16" s="36" t="inlineStr">
        <is>
          <t>走路（人 40 / 布鲁斯 25）</t>
        </is>
      </c>
      <c r="C16" s="36" t="inlineStr">
        <is>
          <t>只有**跟你敌对**的会过来</t>
        </is>
      </c>
      <c r="D16" s="36" t="inlineStr">
        <is>
          <t>脚步是一直在响的。如果脚步也不分敌我，丧尸就会被彼此的脚步声互相吸引，越聚越紧，最后挤成一坨在原地打转。所以脚步只招敌人。</t>
        </is>
      </c>
    </row>
    <row r="17" ht="30" customHeight="1" s="26">
      <c r="A17" s="38" t="inlineStr">
        <is>
          <t>⚠️ 但是：**你自己的人（幸存者和布鲁斯）永远不会被任何声音牵着走**。声音只指挥敌人，不指挥你——你的人只听你的。</t>
        </is>
      </c>
    </row>
  </sheetData>
  <mergeCells count="4">
    <mergeCell ref="A1:D1"/>
    <mergeCell ref="A17:D17"/>
    <mergeCell ref="A13:D13"/>
    <mergeCell ref="A11:D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18" customWidth="1" style="26" min="1" max="1"/>
    <col width="104" customWidth="1" style="26" min="2" max="2"/>
  </cols>
  <sheetData>
    <row r="1">
      <c r="A1" s="21" t="inlineStr">
        <is>
          <t>武器表 · 使用说明</t>
        </is>
      </c>
      <c r="B1" s="21" t="inlineStr">
        <is>
          <t>怎么看这张表 / 每列什么意思</t>
        </is>
      </c>
    </row>
    <row r="2">
      <c r="A2" s="22" t="inlineStr">
        <is>
          <t>这表干嘛的</t>
        </is>
      </c>
      <c r="B2" s="20" t="inlineStr">
        <is>
          <t>算每把武器打出多少输出，方便你横向比、调数值。你只填蓝色格子，绿色格子会自动算出来。所有数字都是暂定，边调边用模拟器拉表校准。</t>
        </is>
      </c>
    </row>
    <row r="3">
      <c r="A3" s="22" t="inlineStr">
        <is>
          <t>颜色什么意思</t>
        </is>
      </c>
      <c r="B3" s="20" t="inlineStr">
        <is>
          <t>蓝色＝你填的输入列；绿色＝自动算的结果(别改)；灰色＝中间过程量(用不上可以折叠起来)。</t>
        </is>
      </c>
    </row>
    <row r="4">
      <c r="A4" s="22" t="inlineStr">
        <is>
          <t>怎么用</t>
        </is>
      </c>
      <c r="B4" s="20" t="inlineStr">
        <is>
          <t>只改蓝色输入列。连发枪(比如冲锋枪)要填『连发数』和『连发内间隔』；单发枪这两格留空就行。护甲、距离、目标大小在『参数区』那张表统一调，改一处、整张表跟着变。</t>
        </is>
      </c>
    </row>
    <row r="5">
      <c r="A5" s="22" t="inlineStr">
        <is>
          <t>重量列(新增)</t>
        </is>
      </c>
      <c r="B5" s="20" t="inlineStr">
        <is>
          <t>武器表最右加了『重量(kg)』列——背着多重也很重要。游戏里武器还没设重量，所以这列现在全是暂定值，你随手填、我们再填回游戏。这列不参与任何输出计算，填错也不影响别的数。</t>
        </is>
      </c>
    </row>
    <row r="6">
      <c r="A6" s="22" t="inlineStr">
        <is>
          <t>出手快慢</t>
        </is>
      </c>
      <c r="B6" s="20" t="inlineStr">
        <is>
          <t>实际冷却＝冷却÷持握加成：双手拿更快、左右各一把(双持)最快、单手正常。因为背太重/受伤/挨饿导致的变慢，这张表没算进去。</t>
        </is>
      </c>
    </row>
    <row r="7">
      <c r="A7" s="22" t="inlineStr">
        <is>
          <t>伤害怎么结算</t>
        </is>
      </c>
      <c r="B7" s="20" t="inlineStr">
        <is>
          <t>一次攻击：进攻方掷一个伤害，护甲掷一个防御。赢了＝全额伤害；打平手＝只进一半(还会由锐器转成钝器)；被挡下＝这层没伤。有好几层甲就一层层往里判。</t>
        </is>
      </c>
    </row>
    <row r="8">
      <c r="A8" s="22" t="inlineStr">
        <is>
          <t>能不能打中</t>
        </is>
      </c>
      <c r="B8" s="20" t="inlineStr">
        <is>
          <t>远程：离得越远、枪越散，越难打中；近战默认必中。这里只是个简化估算，真实弹道以游戏里为准。</t>
        </is>
      </c>
    </row>
    <row r="9">
      <c r="A9" s="22" t="inlineStr">
        <is>
          <t>远了会不会掉伤</t>
        </is>
      </c>
      <c r="B9" s="20" t="inlineStr">
        <is>
          <t>近处满伤；超过『满伤射程』开始往下掉；超过『最大射程』就够不着了。</t>
        </is>
      </c>
    </row>
    <row r="10">
      <c r="A10" s="22" t="inlineStr">
        <is>
          <t>两个DPS区别</t>
        </is>
      </c>
      <c r="B10" s="20" t="inlineStr">
        <is>
          <t>『裸DPS』是贴脸、满伤、对方没甲时的上限，纯拿来横向比；『综合DPS』把护甲、命中、距离都算进去，最接近实战表现。</t>
        </is>
      </c>
    </row>
    <row r="11">
      <c r="A11" s="22" t="inlineStr">
        <is>
          <t>枪托砸</t>
        </is>
      </c>
      <c r="B11" s="20" t="inlineStr">
        <is>
          <t>贴脸时枪会被逼成拿枪托砸(必中的钝击)。带『枪托』字样那几列只有远程枪要填，供参考。</t>
        </is>
      </c>
    </row>
    <row r="12">
      <c r="A12" s="22" t="inlineStr">
        <is>
          <t>这表没管的</t>
        </is>
      </c>
      <c r="B12" s="20" t="inlineStr">
        <is>
          <t>流血/骨折/切除这些打中之后才发生的事，不在这张表里；这表只算武器本身的基础输出。</t>
        </is>
      </c>
    </row>
    <row r="13">
      <c r="A13" s="22" t="inlineStr">
        <is>
          <t>数字都是暂定</t>
        </is>
      </c>
      <c r="B13" s="20" t="inlineStr">
        <is>
          <t>表里所有数值都是先填着、边测边调的。要你拍板的是玩法形态；具体大小靠模拟器拉表校准。</t>
        </is>
      </c>
    </row>
    <row r="14">
      <c r="A14" s="22" t="inlineStr">
        <is>
          <t>噪音半径</t>
        </is>
      </c>
      <c r="B14" s="33" t="inlineStr">
        <is>
          <t>做一件事会把多远以内、当时没在追人的敌人引过来「看一眼」——丧尸和劫掠者都听得见（玩家的人不吃这套，不会被声音牵着走)。已经在追你的敌人不会被别处的声音带走。声音不挡墙(会绕会穿)。</t>
        </is>
      </c>
    </row>
    <row r="15">
      <c r="A15" s="22" t="inlineStr">
        <is>
          <t>有声音的不只是打架</t>
        </is>
      </c>
      <c r="B15" s="33" t="inlineStr">
        <is>
          <t>走路 40、撬锁 30、开门 100、砍人/开枪看这张表、砸门砸围栏 180。一扇锁着的门有两种开法：撬(30，最轻的声音，但慢、还费铁丝) 或 砸(180，快，但全场都听得见)。详见『行为噪音』那一页。</t>
        </is>
      </c>
    </row>
    <row r="16">
      <c r="A16" s="22" t="inlineStr">
        <is>
          <t>看噪音看两个数</t>
        </is>
      </c>
      <c r="B16" s="33" t="inlineStr">
        <is>
          <t>①丧尸能闻到你的距离是 70。②丧尸夜里能看见你的距离大约 219。绿格(≤70)＝声音传不出丧尸的鼻子，等于白送：听得见的本来就闻得到你。黄格(70~219)＝会招来附近闲逛的。红格(&gt;219)＝把你根本看不见的、屏幕外的都拽过来。</t>
        </is>
      </c>
    </row>
    <row r="17">
      <c r="A17" s="22" t="inlineStr">
        <is>
          <t>排序是玩法的骨架</t>
        </is>
      </c>
      <c r="B17" s="33" t="inlineStr">
        <is>
          <t>走路(40，最轻) &lt; 弓弩(50~70，几乎不额外招怪) &lt; 近战(90~150，砍人是有动静的) &lt;&lt; 枪(350~700，招一片)。弓比最静的近战(匕首90)还静——这就是弓存在的意义：远远一箭放倒，好过凑上去砍出一堆响动。</t>
        </is>
      </c>
    </row>
    <row r="18">
      <c r="A18" s="22" t="inlineStr">
        <is>
          <t>近战之间也有差别</t>
        </is>
      </c>
      <c r="B18" s="33" t="inlineStr">
        <is>
          <t>越沉、挥得越大、越砸甲就越响：匕首 90(最静，短促捅刺) → 长剑 120 → 重剑 135 → 破甲锤 150(最响，砸铁皮当当作响)。</t>
        </is>
      </c>
    </row>
    <row r="19">
      <c r="A19" s="22" t="inlineStr">
        <is>
          <t>怎么调</t>
        </is>
      </c>
      <c r="B19" s="33" t="inlineStr">
        <is>
          <t>想让某把武器更适合潜行，就把噪音调小(往 70 以下靠)；想让它更吵就调大(往 219 以上拉)。数值都是暂定的，随便改。</t>
        </is>
      </c>
    </row>
    <row r="20" ht="62" customHeight="1" s="26">
      <c r="A20" s="43" t="inlineStr">
        <is>
          <t>谁听得见（两种声音不一样）</t>
        </is>
      </c>
      <c r="B20" s="33" t="inlineStr">
        <is>
          <t>**打斗的动静(开枪/砍人/爪击/撕咬/砸门/开门)不分敌我**——谁听见都会过来看，所以被围住就真的会滚雪球：丧尸抓你的动静会把别的丧尸也引来。**只有脚步声分敌我**（只招敌人）——否则丧尸会被彼此的脚步互相吸引、挤成一坨。⚠️ 你自己的人（幸存者和布鲁斯）**永远不会被任何声音牵着走**，只听你的指令。</t>
        </is>
      </c>
    </row>
    <row r="21">
      <c r="A21" t="inlineStr">
        <is>
          <t>砸墙系数(新增)</t>
        </is>
      </c>
      <c r="B21" t="inlineStr">
        <is>
          <t>这一格管的是：拿这件家伙去砸围栏/大门/门板，一下能砸掉多少。砸墙伤害＝这把武器的平均伤害 × 这个系数。锤子砸墙就该狠(破甲锤 2.0，全表最强破门)；刀刃砍墙是白费劲(匕首 0.4)；射箭砸墙最徒劳(弓弩 0.1，全表最低)。墙没有护甲、不分部位、不吃穿透——它只有一个血条，所以打人的那套数值搬到墙上没意义。</t>
        </is>
      </c>
    </row>
    <row r="22">
      <c r="A22" t="inlineStr">
        <is>
          <t>枪怎么砸墙</t>
        </is>
      </c>
      <c r="B22" t="inlineStr">
        <is>
          <t>枪不是拿来轰墙的——子弹打不穿承重墙。贴到墙上时它是抡枪托砸，所以枪那一行的系数作用在『枪托伤害』上(不是子弹伤害)。于是持枪的敌人破门比拿匕首的快，但远不如拿把锤子。</t>
        </is>
      </c>
    </row>
    <row r="23">
      <c r="A23" t="inlineStr">
        <is>
          <t>丧尸砸墙</t>
        </is>
      </c>
      <c r="B23" t="inlineStr">
        <is>
          <t>丧尸那行(爪击)系数 2.5，比别的锐器高得多——它砸墙不是用爪尖划，是整只扑上去撞、扒、咬。每爪 7.5 点，砸穿一扇基础大门要 78 秒。想让它恢复以前更快的手感，把这格调到 4.0。</t>
        </is>
      </c>
    </row>
    <row r="24">
      <c r="A24" t="inlineStr">
        <is>
          <t>这格留空会怎样</t>
        </is>
      </c>
      <c r="B24" t="inlineStr">
        <is>
          <t>留空＝按伤害类型兜底：钝的 1.2、锐的 0.4。不会变成砸不动墙。</t>
        </is>
      </c>
    </row>
    <row r="25">
      <c r="A25" t="inlineStr">
        <is>
          <t>一群丧尸砸门要多久</t>
        </is>
      </c>
      <c r="B25" t="inlineStr">
        <is>
          <t>别拿"8 只丧尸一起砸"的数字调平衡——丧尸有碰撞体积、爪击是近战距离，一扇门前只挤得下 3~4 只能真打到门，后面的够不着。按实际口径：一波丧尸(一线 4 只)砸穿基础大门 21 秒、砸穿顶格的浇筑大门 62 秒，来 8 只还是 80 只都一样(挤不进来)。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2026-07-11T04:28:34Z</dcterms:created>
  <dcterms:modified xsi:type="dcterms:W3CDTF">2026-07-13T08:51:12Z</dcterms:modified>
</cp:coreProperties>
</file>